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37A513E1-A2C4-364F-938C-4055A04F6942}" xr6:coauthVersionLast="47" xr6:coauthVersionMax="47" xr10:uidLastSave="{00000000-0000-0000-0000-000000000000}"/>
  <bookViews>
    <workbookView xWindow="0" yWindow="600" windowWidth="34200" windowHeight="1922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G39" i="1" l="1"/>
  <c r="L39" i="1"/>
  <c r="L40" i="1" s="1"/>
  <c r="H39" i="1"/>
  <c r="I39" i="1"/>
  <c r="J39" i="1"/>
  <c r="K39" i="1"/>
  <c r="K40" i="1" s="1"/>
  <c r="F32" i="1"/>
  <c r="E34" i="1"/>
  <c r="E35" i="1" s="1"/>
  <c r="E36" i="1"/>
  <c r="F40" i="1"/>
  <c r="C63" i="1"/>
  <c r="C61" i="1"/>
  <c r="C64" i="1"/>
  <c r="I40" i="1"/>
  <c r="J40" i="1"/>
  <c r="C62" i="1"/>
  <c r="C60" i="1"/>
  <c r="G40" i="1"/>
  <c r="H40" i="1"/>
  <c r="N39" i="1"/>
  <c r="N40" i="1" s="1"/>
  <c r="M39" i="1"/>
  <c r="M40" i="1" s="1"/>
  <c r="E39" i="1"/>
  <c r="E40" i="1" s="1"/>
  <c r="E37" i="1" l="1"/>
  <c r="F34" i="1"/>
  <c r="F35" i="1" s="1"/>
  <c r="F36" i="1"/>
  <c r="G32" i="1"/>
  <c r="G34" i="1" l="1"/>
  <c r="G35" i="1" s="1"/>
  <c r="G36" i="1"/>
  <c r="H32" i="1"/>
  <c r="F37" i="1"/>
  <c r="F41" i="1" s="1"/>
  <c r="E41" i="1"/>
  <c r="H36" i="1" l="1"/>
  <c r="H34" i="1"/>
  <c r="H35" i="1" s="1"/>
  <c r="H37" i="1" s="1"/>
  <c r="H41" i="1" s="1"/>
  <c r="I32" i="1"/>
  <c r="G37" i="1"/>
  <c r="G41" i="1" s="1"/>
  <c r="I36" i="1" l="1"/>
  <c r="I34" i="1"/>
  <c r="I35" i="1" s="1"/>
  <c r="I37" i="1" s="1"/>
  <c r="I41" i="1" s="1"/>
  <c r="J32" i="1"/>
  <c r="K32" i="1" l="1"/>
  <c r="J34" i="1"/>
  <c r="J35" i="1" s="1"/>
  <c r="J36" i="1"/>
  <c r="J37" i="1" l="1"/>
  <c r="J41" i="1" s="1"/>
  <c r="K34" i="1"/>
  <c r="K35" i="1" s="1"/>
  <c r="K36" i="1"/>
  <c r="L32" i="1"/>
  <c r="M32" i="1" l="1"/>
  <c r="L34" i="1"/>
  <c r="L35" i="1" s="1"/>
  <c r="L36" i="1"/>
  <c r="K37" i="1"/>
  <c r="K41" i="1" s="1"/>
  <c r="L37" i="1" l="1"/>
  <c r="L41" i="1" s="1"/>
  <c r="N32" i="1"/>
  <c r="M36" i="1"/>
  <c r="M34" i="1"/>
  <c r="M35" i="1" s="1"/>
  <c r="M37" i="1" s="1"/>
  <c r="M41" i="1" s="1"/>
  <c r="N36" i="1" l="1"/>
  <c r="N34" i="1"/>
  <c r="N35" i="1" s="1"/>
  <c r="N37" i="1" s="1"/>
  <c r="N41" i="1" s="1"/>
  <c r="D44" i="1" s="1"/>
  <c r="O32" i="1"/>
  <c r="O34" i="1" l="1"/>
  <c r="O35" i="1" s="1"/>
  <c r="D63" i="1"/>
  <c r="G61" i="1"/>
  <c r="D62" i="1"/>
  <c r="D61" i="1"/>
  <c r="H64" i="1"/>
  <c r="E63" i="1"/>
  <c r="E61" i="1"/>
  <c r="D60" i="1"/>
  <c r="E64" i="1"/>
  <c r="G63" i="1"/>
  <c r="H60" i="1"/>
  <c r="F64" i="1"/>
  <c r="H62" i="1"/>
  <c r="F61" i="1"/>
  <c r="F60" i="1"/>
  <c r="G62" i="1"/>
  <c r="D64" i="1"/>
  <c r="G64" i="1"/>
  <c r="F62" i="1"/>
  <c r="G60" i="1"/>
  <c r="E60" i="1"/>
  <c r="F63" i="1"/>
  <c r="E62" i="1"/>
  <c r="H63" i="1"/>
  <c r="H61" i="1"/>
  <c r="O36" i="1" l="1"/>
  <c r="O37" i="1" s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<sst xmlns="http://schemas.openxmlformats.org/spreadsheetml/2006/main" count="95" uniqueCount="95">
  <si>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Apple Inc. (AAPL)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</si>
  <si>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</si>
  <si>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</si>
  <si>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</si>
  <si>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</si>
  <si>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</si>
  <si>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AAPL, close 14 Oct 2026</t>
  </si>
  <si>
    <t>Shares outstanding (millions)</t>
  </si>
  <si>
    <t>Shares outstanding at 17 Jul 2026, cover of the Q3 FY2026 Form 10-Q (14,594,180,000). Falls each year with buybacks</t>
  </si>
  <si>
    <t>Calendar 2025 revenue</t>
  </si>
  <si>
    <t>Calendar 2025 = the four quarters ending Mar, Jun, Sep and Dec 2025 ($95,359m + $94,036m + $102,466m + $143,756m), from Apple's 10-Q and 10-K filings. Apple's fiscal year ends in late September</t>
  </si>
  <si>
    <t>Net cash / (net debt)</t>
  </si>
  <si>
    <t>27 Jun 2026, Q3 FY2026 Form 10-Q: cash 39,544 + current marketable securities 22,855 + non-current marketable securities 84,118 − term debt 82,347 − commercial paper 1,997</t>
  </si>
  <si>
    <t>Total debt</t>
  </si>
  <si>
    <t>Term debt + commercial paper, Q3 FY2026 Form 10-Q. Used only to weight debt in the cost of capital</t>
  </si>
  <si>
    <t>Risk-free rate (US 10-yr)</t>
  </si>
  <si>
    <t>^TNX 5.19%, close 14 Oct 2026 (Yahoo Finance)</t>
  </si>
  <si>
    <t>Beta</t>
  </si>
  <si>
    <t>Judgment: 5-year monthly regression against the MASI gives 1.10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</si>
  <si>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</si>
  <si>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</si>
  <si>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</si>
  <si>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</si>
  <si>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</si>
  <si>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</si>
  <si>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</si>
  <si>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0.5% (AA+ credit)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</si>
  <si>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</si>
  <si>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</si>
  <si>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</si>
  <si>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</si>
  <si>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</si>
  <si>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</si>
  <si>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</si>
  <si>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Effective rate FY2025 15.6% ($20,719m ÷ $132,729m); first nine months of FY2026 17.6%</t>
  </si>
  <si>
    <t>Net investment (% of revenue)</t>
  </si>
  <si>
    <t>Judgment. Capital spending above depreciation: FY2025 $12.7bn − $11.7bn = 0.2% of revenue. Apple is paid by customers before it pays suppliers, so growth needs little extra capital</t>
  </si>
  <si>
    <t>Terminal growth</t>
  </si>
  <si>
    <t>Judgment: below the long-run US nominal growth rate. Services (about a quarter of sales) keeps growing as the installed base grows</t>
  </si>
  <si>
    <t>Terminal ROIC</t>
  </si>
  <si>
    <t>Judgment: Apple earns far more than its cost of capital and this should last; 30% is still well below today's level</t>
  </si>
  <si>
    <t>Terminal operating margin</t>
  </si>
  <si>
    <t>Judgment: close to today. Calendar 2025 32.4%, first half of calendar 2026 32.4%. Services margins are about 75%, hardware about 36%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</si>
  <si>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</si>
  <si>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</si>
  <si>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</si>
  <si>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</si>
  <si>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</si>
  <si>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</si>
  <si>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</si>
  <si>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</si>
  <si>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</si>
  <si>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</si>
  <si>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</si>
  <si>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</si>
  <si>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</si>
  <si>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</si>
  <si>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</si>
  <si>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</si>
  <si>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+12.0% and 2027E +10.8% = analyst averages on Yahoo Finance (40 analysts), turned into calendar years: actual quarters to Jun 2026 + Sep and Dec 2026 quarter estimates ($113.6bn, $153.9bn). Then 7% fading to 3%</t>
  </si>
  <si>
    <t>Revenue</t>
  </si>
  <si>
    <t>Operating margin</t>
  </si>
  <si>
    <t>Calendar 2025 actual 32.4% ($141,070m operating income). I keep about 33%, easing to 32% as hardware matures</t>
  </si>
  <si>
    <t>EBIT</t>
  </si>
  <si>
    <t>NOPAT</t>
  </si>
  <si>
    <t>Less: net investment (revenue × rate)</t>
  </si>
  <si>
    <t>Capital spending above depreciation, as a share of revenue.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</si>
  <si>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</si>
  <si>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</si>
  <si>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</si>
  <si>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</si>
  <si>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</si>
  <si>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</si>
  <si>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</si>
  <si>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</si>
  <si>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</si>
  <si>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</si>
  <si>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</si>
  <si>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</si>
  <si>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</si>
  <si>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</si>
  <si>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</si>
  <si>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</si>
  <si>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</si>
  <si>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FY2025 $7.46 + 9M FY2026 $6.88 − 9M FY2025 $5.62 = $8.72 (10-K, 10-Q)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</si>
  <si>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</si>
  <si>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</si>
  <si>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</si>
  <si>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</si>
  <si>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</si>
  <si>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$148.68 a share against a price of $342.96 (-57%). WACC 10.0%; terminal value is 51% of enterprise value.</t>
  </si>
  <si>
    <t>Apple is a steady, very profitable business, so the question is only what it is worth per dollar of profit. At a 5.2% risk-free rate, a 10% discount rate and analyst growth, the base case is well below the price.</t>
  </si>
  <si>
    <t>On margin alone the price needs about 85%, which no hardware company earns. So the price is really betting on faster growth for longer, or a lower discount rate. Try growth of 8% to 10% a year through 2035, or a beta of 0.8.</t>
  </si>
  <si>
    <t>Net cash of $62bn after $85bn of debt.</t>
  </si>
  <si>
    <t>Sources: Apple FY2025 Form 10-K and FY2026 10-Q filings via SEC EDGAR; analyst estimates and price from Yahoo Finance, 14 Oct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</si>
</sst>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$&quot;#,##0.00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3">
        <v>342.96</v>
      </c>
      <c r="P7" t="s">
        <v>6</v>
      </c>
    </row>
    <row r="8" spans="2:16" x14ac:dyDescent="0.2">
      <c r="B8" t="s">
        <v>7</v>
      </c>
      <c r="C8" s="4">
        <v>14594.2</v>
      </c>
      <c r="P8" t="s">
        <v>8</v>
      </c>
    </row>
    <row r="9" spans="2:16" x14ac:dyDescent="0.2">
      <c r="B9" t="s">
        <v>9</v>
      </c>
      <c r="C9" s="5">
        <f>95359+94036+102466+143756</f>
        <v>435617</v>
      </c>
      <c r="P9" t="s">
        <v>10</v>
      </c>
    </row>
    <row r="10" spans="2:16" x14ac:dyDescent="0.2">
      <c r="B10" t="s">
        <v>11</v>
      </c>
      <c r="C10" s="6">
        <f>39544+22855+84118-(11007+71340+1997)</f>
        <v>62173</v>
      </c>
      <c r="P10" t="s">
        <v>12</v>
      </c>
    </row>
    <row r="11" spans="2:16" x14ac:dyDescent="0.2">
      <c r="B11" t="s">
        <v>13</v>
      </c>
      <c r="C11" s="5">
        <v>84344</v>
      </c>
      <c r="P11" t="s">
        <v>14</v>
      </c>
    </row>
    <row r="12" spans="2:16" x14ac:dyDescent="0.2">
      <c r="B12" t="s">
        <v>15</v>
      </c>
      <c r="C12" s="7">
        <v>5.1900000000000002E-2</v>
      </c>
      <c r="P12" t="s">
        <v>16</v>
      </c>
    </row>
    <row r="13" spans="2:16" x14ac:dyDescent="0.2">
      <c r="B13" t="s">
        <v>17</v>
      </c>
      <c r="C13" s="8">
        <v>1.1000000000000001</v>
      </c>
      <c r="P13" t="s">
        <v>18</v>
      </c>
    </row>
    <row r="14" spans="2:16" x14ac:dyDescent="0.2">
      <c r="B14" t="s">
        <v>19</v>
      </c>
      <c r="C14" s="9">
        <v>4.4999999999999998E-2</v>
      </c>
      <c r="P14" t="s">
        <v>20</v>
      </c>
    </row>
    <row r="15" spans="2:16" x14ac:dyDescent="0.2">
      <c r="B15" t="s">
        <v>21</v>
      </c>
      <c r="C15" s="7">
        <v>0</v>
      </c>
      <c r="P15" t="s">
        <v>22</v>
      </c>
    </row>
    <row r="16" spans="2:16" x14ac:dyDescent="0.2">
      <c r="B16" t="s">
        <v>23</v>
      </c>
      <c r="C16" s="10">
        <f>C12+C13*C14+C15</f>
        <v>0.1014</v>
      </c>
      <c r="P16" t="s">
        <v>24</v>
      </c>
    </row>
    <row r="17" spans="2:16" x14ac:dyDescent="0.2">
      <c r="B17" t="s">
        <v>25</v>
      </c>
      <c r="C17" s="7">
        <v>5.7000000000000002E-2</v>
      </c>
      <c r="P17" t="s">
        <v>26</v>
      </c>
    </row>
    <row r="18" spans="2:16" x14ac:dyDescent="0.2">
      <c r="B18" t="s">
        <v>27</v>
      </c>
      <c r="C18" s="7">
        <v>0.21</v>
      </c>
      <c r="P18" t="s">
        <v>28</v>
      </c>
    </row>
    <row r="19" spans="2:16" x14ac:dyDescent="0.2">
      <c r="B19" t="s">
        <v>29</v>
      </c>
      <c r="C19" s="11">
        <f>C11/(C11+C7*C8)</f>
        <v>1.6571927729092266E-2</v>
      </c>
      <c r="P19" t="s">
        <v>30</v>
      </c>
    </row>
    <row r="20" spans="2:16" x14ac:dyDescent="0.2">
      <c r="B20" t="s">
        <v>31</v>
      </c>
      <c r="C20" s="12">
        <f>C16*(1-C19)+C17*(1-C18)*C19</f>
        <v>0.10046584043391107</v>
      </c>
      <c r="P20" t="s">
        <v>32</v>
      </c>
    </row>
    <row r="21" spans="2:16" x14ac:dyDescent="0.2">
      <c r="B21" t="s">
        <v>33</v>
      </c>
      <c r="C21" s="9">
        <v>0.16</v>
      </c>
      <c r="P21" t="s">
        <v>34</v>
      </c>
    </row>
    <row r="22" spans="2:16" x14ac:dyDescent="0.2">
      <c r="B22" t="s">
        <v>35</v>
      </c>
      <c r="C22" s="9">
        <v>0.01</v>
      </c>
      <c r="P22" t="s">
        <v>36</v>
      </c>
    </row>
    <row r="23" spans="2:16" x14ac:dyDescent="0.2">
      <c r="B23" t="s">
        <v>37</v>
      </c>
      <c r="C23" s="7">
        <v>2.5000000000000001E-2</v>
      </c>
      <c r="P23" t="s">
        <v>38</v>
      </c>
    </row>
    <row r="24" spans="2:16" x14ac:dyDescent="0.2">
      <c r="B24" t="s">
        <v>39</v>
      </c>
      <c r="C24" s="7">
        <v>0.3</v>
      </c>
      <c r="P24" t="s">
        <v>40</v>
      </c>
    </row>
    <row r="25" spans="2:16" x14ac:dyDescent="0.2">
      <c r="B25" t="s">
        <v>41</v>
      </c>
      <c r="C25" s="9">
        <v>0.32</v>
      </c>
      <c r="P25" t="s">
        <v>42</v>
      </c>
    </row>
    <row r="26" spans="2:16" x14ac:dyDescent="0.2">
      <c r="B26" t="s">
        <v>43</v>
      </c>
      <c r="C26" s="7">
        <v>0.16</v>
      </c>
      <c r="P26" t="s">
        <v>44</v>
      </c>
    </row>
    <row r="29" spans="2:16" x14ac:dyDescent="0.2">
      <c r="B29" s="1" t="s">
        <v>45</v>
      </c>
    </row>
    <row r="30" spans="2:16" x14ac:dyDescent="0.2">
      <c r="D30" s="13" t="s">
        <v>46</v>
      </c>
      <c r="E30" s="13" t="s">
        <v>47</v>
      </c>
      <c r="F30" s="13" t="s">
        <v>48</v>
      </c>
      <c r="G30" s="13" t="s">
        <v>49</v>
      </c>
      <c r="H30" s="13" t="s">
        <v>50</v>
      </c>
      <c r="I30" s="13" t="s">
        <v>51</v>
      </c>
      <c r="J30" s="13" t="s">
        <v>52</v>
      </c>
      <c r="K30" s="13" t="s">
        <v>53</v>
      </c>
      <c r="L30" s="13" t="s">
        <v>54</v>
      </c>
      <c r="M30" s="13" t="s">
        <v>55</v>
      </c>
      <c r="N30" s="13" t="s">
        <v>56</v>
      </c>
      <c r="O30" s="13" t="s">
        <v>57</v>
      </c>
    </row>
    <row r="31" spans="2:16" x14ac:dyDescent="0.2">
      <c r="B31" t="s">
        <v>58</v>
      </c>
      <c r="E31" s="9">
        <v>0.12</v>
      </c>
      <c r="F31" s="9">
        <v>0.108</v>
      </c>
      <c r="G31" s="9">
        <v>7.0000000000000007E-2</v>
      </c>
      <c r="H31" s="9">
        <v>0.06</v>
      </c>
      <c r="I31" s="9">
        <v>0.05</v>
      </c>
      <c r="J31" s="9">
        <v>0.05</v>
      </c>
      <c r="K31" s="9">
        <v>0.04</v>
      </c>
      <c r="L31" s="9">
        <v>0.04</v>
      </c>
      <c r="M31" s="9">
        <v>0.03</v>
      </c>
      <c r="N31" s="9">
        <v>0.03</v>
      </c>
      <c r="O31" s="11">
        <f>C23</f>
        <v>2.5000000000000001E-2</v>
      </c>
      <c r="P31" t="s">
        <v>59</v>
      </c>
    </row>
    <row r="32" spans="2:16" x14ac:dyDescent="0.2">
      <c r="B32" s="1" t="s">
        <v>60</v>
      </c>
      <c r="D32" s="6">
        <f>C9</f>
        <v>435617</v>
      </c>
      <c r="E32" s="6">
        <f t="shared" ref="E32:O32" si="0">D32*(1+E31)</f>
        <v>487891.04000000004</v>
      </c>
      <c r="F32" s="6">
        <f t="shared" si="0"/>
        <v>540583.27232000011</v>
      </c>
      <c r="G32" s="6">
        <f t="shared" si="0"/>
        <v>578424.10138240014</v>
      </c>
      <c r="H32" s="6">
        <f t="shared" si="0"/>
        <v>613129.54746534419</v>
      </c>
      <c r="I32" s="6">
        <f t="shared" si="0"/>
        <v>643786.02483861148</v>
      </c>
      <c r="J32" s="6">
        <f t="shared" si="0"/>
        <v>675975.32608054206</v>
      </c>
      <c r="K32" s="6">
        <f t="shared" si="0"/>
        <v>703014.33912376373</v>
      </c>
      <c r="L32" s="6">
        <f t="shared" si="0"/>
        <v>731134.91268871434</v>
      </c>
      <c r="M32" s="6">
        <f t="shared" si="0"/>
        <v>753068.96006937581</v>
      </c>
      <c r="N32" s="6">
        <f t="shared" si="0"/>
        <v>775661.02887145709</v>
      </c>
      <c r="O32" s="6">
        <f t="shared" si="0"/>
        <v>795052.5545932434</v>
      </c>
    </row>
    <row r="33" spans="2:16" x14ac:dyDescent="0.2">
      <c r="B33" t="s">
        <v>61</v>
      </c>
      <c r="D33" s="11">
        <f>(29589+28202+32427+50852)/(95359+94036+102466+143756)</f>
        <v>0.32383951957797791</v>
      </c>
      <c r="E33" s="9">
        <v>0.33</v>
      </c>
      <c r="F33" s="9">
        <v>0.33</v>
      </c>
      <c r="G33" s="9">
        <v>0.33</v>
      </c>
      <c r="H33" s="9">
        <v>0.33</v>
      </c>
      <c r="I33" s="9">
        <v>0.32</v>
      </c>
      <c r="J33" s="9">
        <v>0.32</v>
      </c>
      <c r="K33" s="9">
        <v>0.32</v>
      </c>
      <c r="L33" s="9">
        <v>0.32</v>
      </c>
      <c r="M33" s="9">
        <v>0.32</v>
      </c>
      <c r="N33" s="9">
        <v>0.32</v>
      </c>
      <c r="O33" s="11">
        <f>C25</f>
        <v>0.32</v>
      </c>
      <c r="P33" t="s">
        <v>62</v>
      </c>
    </row>
    <row r="34" spans="2:16" x14ac:dyDescent="0.2">
      <c r="B34" t="s">
        <v>63</v>
      </c>
      <c r="E34" s="6">
        <f t="shared" ref="E34:O34" si="1">E32*E33</f>
        <v>161004.04320000001</v>
      </c>
      <c r="F34" s="6">
        <f t="shared" si="1"/>
        <v>178392.47986560003</v>
      </c>
      <c r="G34" s="6">
        <f t="shared" si="1"/>
        <v>190879.95345619204</v>
      </c>
      <c r="H34" s="6">
        <f t="shared" si="1"/>
        <v>202332.75066356358</v>
      </c>
      <c r="I34" s="6">
        <f t="shared" si="1"/>
        <v>206011.52794835568</v>
      </c>
      <c r="J34" s="6">
        <f t="shared" si="1"/>
        <v>216312.10434577346</v>
      </c>
      <c r="K34" s="6">
        <f t="shared" si="1"/>
        <v>224964.58851960441</v>
      </c>
      <c r="L34" s="6">
        <f t="shared" si="1"/>
        <v>233963.17206038861</v>
      </c>
      <c r="M34" s="6">
        <f t="shared" si="1"/>
        <v>240982.06722220028</v>
      </c>
      <c r="N34" s="6">
        <f t="shared" si="1"/>
        <v>248211.52923886626</v>
      </c>
      <c r="O34" s="6">
        <f t="shared" si="1"/>
        <v>254416.8174698379</v>
      </c>
    </row>
    <row r="35" spans="2:16" x14ac:dyDescent="0.2">
      <c r="B35" t="s">
        <v>64</v>
      </c>
      <c r="E35" s="6">
        <f t="shared" ref="E35:N35" si="2">E34*(1-$C$21)</f>
        <v>135243.39628800002</v>
      </c>
      <c r="F35" s="6">
        <f t="shared" si="2"/>
        <v>149849.68308710403</v>
      </c>
      <c r="G35" s="6">
        <f t="shared" si="2"/>
        <v>160339.16090320132</v>
      </c>
      <c r="H35" s="6">
        <f t="shared" si="2"/>
        <v>169959.5105573934</v>
      </c>
      <c r="I35" s="6">
        <f t="shared" si="2"/>
        <v>173049.68347661875</v>
      </c>
      <c r="J35" s="6">
        <f t="shared" si="2"/>
        <v>181702.1676504497</v>
      </c>
      <c r="K35" s="6">
        <f t="shared" si="2"/>
        <v>188970.25435646769</v>
      </c>
      <c r="L35" s="6">
        <f t="shared" si="2"/>
        <v>196529.06453072643</v>
      </c>
      <c r="M35" s="6">
        <f t="shared" si="2"/>
        <v>202424.93646664821</v>
      </c>
      <c r="N35" s="6">
        <f t="shared" si="2"/>
        <v>208497.68456064764</v>
      </c>
      <c r="O35" s="6">
        <f>O34*(1-C26)</f>
        <v>213710.12667466383</v>
      </c>
    </row>
    <row r="36" spans="2:16" x14ac:dyDescent="0.2">
      <c r="B36" t="s">
        <v>65</v>
      </c>
      <c r="E36" s="6">
        <f t="shared" ref="E36:N36" si="3">-E32*$C$22</f>
        <v>-4878.9104000000007</v>
      </c>
      <c r="F36" s="6">
        <f t="shared" si="3"/>
        <v>-5405.8327232000011</v>
      </c>
      <c r="G36" s="6">
        <f t="shared" si="3"/>
        <v>-5784.2410138240011</v>
      </c>
      <c r="H36" s="6">
        <f t="shared" si="3"/>
        <v>-6131.2954746534424</v>
      </c>
      <c r="I36" s="6">
        <f t="shared" si="3"/>
        <v>-6437.860248386115</v>
      </c>
      <c r="J36" s="6">
        <f t="shared" si="3"/>
        <v>-6759.7532608054207</v>
      </c>
      <c r="K36" s="6">
        <f t="shared" si="3"/>
        <v>-7030.1433912376378</v>
      </c>
      <c r="L36" s="6">
        <f t="shared" si="3"/>
        <v>-7311.3491268871439</v>
      </c>
      <c r="M36" s="6">
        <f t="shared" si="3"/>
        <v>-7530.6896006937586</v>
      </c>
      <c r="N36" s="6">
        <f t="shared" si="3"/>
        <v>-7756.6102887145707</v>
      </c>
      <c r="O36" s="6">
        <f>-O35*C23/C24</f>
        <v>-17809.177222888655</v>
      </c>
      <c r="P36" t="s">
        <v>66</v>
      </c>
    </row>
    <row r="37" spans="2:16" x14ac:dyDescent="0.2">
      <c r="B37" s="1" t="s">
        <v>67</v>
      </c>
      <c r="E37" s="14">
        <f t="shared" ref="E37:O37" si="4">E35+E36</f>
        <v>130364.48588800002</v>
      </c>
      <c r="F37" s="14">
        <f t="shared" si="4"/>
        <v>144443.85036390403</v>
      </c>
      <c r="G37" s="14">
        <f t="shared" si="4"/>
        <v>154554.91988937731</v>
      </c>
      <c r="H37" s="14">
        <f t="shared" si="4"/>
        <v>163828.21508273995</v>
      </c>
      <c r="I37" s="14">
        <f t="shared" si="4"/>
        <v>166611.82322823265</v>
      </c>
      <c r="J37" s="14">
        <f t="shared" si="4"/>
        <v>174942.41438964428</v>
      </c>
      <c r="K37" s="14">
        <f t="shared" si="4"/>
        <v>181940.11096523004</v>
      </c>
      <c r="L37" s="14">
        <f t="shared" si="4"/>
        <v>189217.71540383931</v>
      </c>
      <c r="M37" s="14">
        <f t="shared" si="4"/>
        <v>194894.24686595445</v>
      </c>
      <c r="N37" s="14">
        <f t="shared" si="4"/>
        <v>200741.07427193306</v>
      </c>
      <c r="O37" s="14">
        <f t="shared" si="4"/>
        <v>195900.94945177517</v>
      </c>
    </row>
    <row r="38" spans="2:16" x14ac:dyDescent="0.2">
      <c r="B38" t="s">
        <v>68</v>
      </c>
      <c r="E38" s="11">
        <f>(DATE(2026,12,31)-$C$6)/365</f>
        <v>0.21369863013698631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</row>
    <row r="39" spans="2:16" x14ac:dyDescent="0.2">
      <c r="B39" t="s">
        <v>69</v>
      </c>
      <c r="E39" s="15">
        <f>E38/2</f>
        <v>0.10684931506849316</v>
      </c>
      <c r="F39" s="15">
        <f>$E$38+1-0.5</f>
        <v>0.71369863013698631</v>
      </c>
      <c r="G39" s="15">
        <f>$E$38+2-0.5</f>
        <v>1.7136986301369861</v>
      </c>
      <c r="H39" s="15">
        <f>$E$38+3-0.5</f>
        <v>2.7136986301369861</v>
      </c>
      <c r="I39" s="15">
        <f>$E$38+4-0.5</f>
        <v>3.7136986301369861</v>
      </c>
      <c r="J39" s="15">
        <f>$E$38+5-0.5</f>
        <v>4.7136986301369861</v>
      </c>
      <c r="K39" s="15">
        <f>$E$38+6-0.5</f>
        <v>5.7136986301369861</v>
      </c>
      <c r="L39" s="15">
        <f>$E$38+7-0.5</f>
        <v>6.7136986301369861</v>
      </c>
      <c r="M39" s="15">
        <f>$E$38+8-0.5</f>
        <v>7.713698630136987</v>
      </c>
      <c r="N39" s="15">
        <f>$E$38+9-0.5</f>
        <v>8.713698630136987</v>
      </c>
    </row>
    <row r="40" spans="2:16" x14ac:dyDescent="0.2">
      <c r="B40" t="s">
        <v>70</v>
      </c>
      <c r="E40" s="16">
        <f t="shared" ref="E40:N40" si="5">1/(1+$C$20)^E39</f>
        <v>0.98982307137476588</v>
      </c>
      <c r="F40" s="16">
        <f t="shared" si="5"/>
        <v>0.93395695742123275</v>
      </c>
      <c r="G40" s="16">
        <f t="shared" si="5"/>
        <v>0.84869236563760653</v>
      </c>
      <c r="H40" s="16">
        <f t="shared" si="5"/>
        <v>0.77121191267778844</v>
      </c>
      <c r="I40" s="16">
        <f t="shared" si="5"/>
        <v>0.70080495399448417</v>
      </c>
      <c r="J40" s="16">
        <f t="shared" si="5"/>
        <v>0.63682572256687076</v>
      </c>
      <c r="K40" s="16">
        <f t="shared" si="5"/>
        <v>0.57868740597688317</v>
      </c>
      <c r="L40" s="16">
        <f t="shared" si="5"/>
        <v>0.52585676421242489</v>
      </c>
      <c r="M40" s="16">
        <f t="shared" si="5"/>
        <v>0.47784923883242097</v>
      </c>
      <c r="N40" s="16">
        <f t="shared" si="5"/>
        <v>0.43422450863536666</v>
      </c>
    </row>
    <row r="41" spans="2:16" x14ac:dyDescent="0.2">
      <c r="B41" s="1" t="s">
        <v>71</v>
      </c>
      <c r="E41" s="14">
        <f t="shared" ref="E41:N41" si="6">E37*E38*E40</f>
        <v>27575.195928626017</v>
      </c>
      <c r="F41" s="14">
        <f t="shared" si="6"/>
        <v>134904.33900407964</v>
      </c>
      <c r="G41" s="14">
        <f t="shared" si="6"/>
        <v>131169.58058184639</v>
      </c>
      <c r="H41" s="14">
        <f t="shared" si="6"/>
        <v>126346.27110454798</v>
      </c>
      <c r="I41" s="14">
        <f t="shared" si="6"/>
        <v>116762.39111239871</v>
      </c>
      <c r="J41" s="14">
        <f t="shared" si="6"/>
        <v>111407.82945127814</v>
      </c>
      <c r="K41" s="14">
        <f t="shared" si="6"/>
        <v>105286.45085761524</v>
      </c>
      <c r="L41" s="14">
        <f t="shared" si="6"/>
        <v>99501.415553930448</v>
      </c>
      <c r="M41" s="14">
        <f t="shared" si="6"/>
        <v>93130.067517714284</v>
      </c>
      <c r="N41" s="14">
        <f t="shared" si="6"/>
        <v>87166.69433866578</v>
      </c>
    </row>
    <row r="43" spans="2:16" x14ac:dyDescent="0.2">
      <c r="B43" s="1" t="s">
        <v>72</v>
      </c>
    </row>
    <row r="44" spans="2:16" x14ac:dyDescent="0.2">
      <c r="B44" t="s">
        <v>73</v>
      </c>
      <c r="D44" s="6">
        <f>SUM(E41:N41)</f>
        <v>1033250.2354507025</v>
      </c>
    </row>
    <row r="45" spans="2:16" x14ac:dyDescent="0.2">
      <c r="B45" t="s">
        <v>74</v>
      </c>
      <c r="D45" s="6">
        <f>O37/(C20-C23)</f>
        <v>2595889.0582201187</v>
      </c>
    </row>
    <row r="46" spans="2:16" x14ac:dyDescent="0.2">
      <c r="B46" t="s">
        <v>75</v>
      </c>
      <c r="D46" s="6">
        <f>D45/(1+C20)^(E38+9)</f>
        <v>1074514.2445289341</v>
      </c>
    </row>
    <row r="47" spans="2:16" x14ac:dyDescent="0.2">
      <c r="B47" s="1" t="s">
        <v>76</v>
      </c>
      <c r="D47" s="14">
        <f>D44+D46</f>
        <v>2107764.4799796366</v>
      </c>
    </row>
    <row r="48" spans="2:16" x14ac:dyDescent="0.2">
      <c r="B48" t="s">
        <v>77</v>
      </c>
      <c r="D48" s="11">
        <f>D46/D47</f>
        <v>0.50978857207960693</v>
      </c>
    </row>
    <row r="49" spans="2:16" x14ac:dyDescent="0.2">
      <c r="B49" t="s">
        <v>78</v>
      </c>
      <c r="D49" s="6">
        <f>C10</f>
        <v>62173</v>
      </c>
    </row>
    <row r="50" spans="2:16" x14ac:dyDescent="0.2">
      <c r="B50" s="1" t="s">
        <v>79</v>
      </c>
      <c r="D50" s="14">
        <f>D47+D49</f>
        <v>2169937.4799796366</v>
      </c>
    </row>
    <row r="51" spans="2:16" x14ac:dyDescent="0.2">
      <c r="B51" s="1" t="s">
        <v>80</v>
      </c>
      <c r="D51" s="17">
        <f>D50/C8</f>
        <v>148.68492140573903</v>
      </c>
    </row>
    <row r="52" spans="2:16" x14ac:dyDescent="0.2">
      <c r="B52" t="s">
        <v>81</v>
      </c>
      <c r="D52" s="18">
        <f>C7</f>
        <v>342.96</v>
      </c>
    </row>
    <row r="53" spans="2:16" x14ac:dyDescent="0.2">
      <c r="B53" s="1" t="s">
        <v>82</v>
      </c>
      <c r="D53" s="19">
        <f>D51/D52-1</f>
        <v>-0.56646570618807135</v>
      </c>
    </row>
    <row r="54" spans="2:16" x14ac:dyDescent="0.2">
      <c r="B54" t="s">
        <v>83</v>
      </c>
      <c r="D54" s="20">
        <f>C7/8.72</f>
        <v>39.330275229357795</v>
      </c>
      <c r="P54" t="s">
        <v>84</v>
      </c>
    </row>
    <row r="55" spans="2:16" x14ac:dyDescent="0.2">
      <c r="B55" t="s">
        <v>85</v>
      </c>
      <c r="D55" s="20">
        <f>D51/8.72</f>
        <v>17.05102309698842</v>
      </c>
    </row>
    <row r="58" spans="2:16" x14ac:dyDescent="0.2">
      <c r="B58" s="1" t="s">
        <v>86</v>
      </c>
    </row>
    <row r="59" spans="2:16" x14ac:dyDescent="0.2">
      <c r="B59" t="s">
        <v>87</v>
      </c>
      <c r="D59" s="21">
        <v>0.27</v>
      </c>
      <c r="E59" s="21">
        <v>0.29499999999999998</v>
      </c>
      <c r="F59" s="21">
        <v>0.32</v>
      </c>
      <c r="G59" s="21">
        <v>0.34499999999999997</v>
      </c>
      <c r="H59" s="21">
        <v>0.37</v>
      </c>
    </row>
    <row r="60" spans="2:16" x14ac:dyDescent="0.2">
      <c r="C60" s="21">
        <f>$C$20+(-0.03)</f>
        <v>7.0465840433911076E-2</v>
      </c>
      <c r="D60" s="18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209.00294071040167</v>
      </c>
      <c r="E60" s="18">
        <f t="shared" si="7"/>
        <v>225.35345339666245</v>
      </c>
      <c r="F60" s="18">
        <f t="shared" si="7"/>
        <v>241.70396608292324</v>
      </c>
      <c r="G60" s="18">
        <f t="shared" si="7"/>
        <v>258.05447876918402</v>
      </c>
      <c r="H60" s="18">
        <f t="shared" si="7"/>
        <v>274.40499145544482</v>
      </c>
      <c r="P60" t="s">
        <v>88</v>
      </c>
    </row>
    <row r="61" spans="2:16" x14ac:dyDescent="0.2">
      <c r="C61" s="21">
        <f>$C$20+(-0.015)</f>
        <v>8.5465840433911075E-2</v>
      </c>
      <c r="D61" s="18">
        <f t="shared" si="7"/>
        <v>159.9141553191059</v>
      </c>
      <c r="E61" s="18">
        <f t="shared" si="7"/>
        <v>171.76639591355234</v>
      </c>
      <c r="F61" s="18">
        <f t="shared" si="7"/>
        <v>183.61863650799879</v>
      </c>
      <c r="G61" s="18">
        <f t="shared" si="7"/>
        <v>195.47087710244526</v>
      </c>
      <c r="H61" s="18">
        <f t="shared" si="7"/>
        <v>207.3231176968917</v>
      </c>
    </row>
    <row r="62" spans="2:16" x14ac:dyDescent="0.2">
      <c r="C62" s="21">
        <f>$C$20+(0)</f>
        <v>0.10046584043391107</v>
      </c>
      <c r="D62" s="18">
        <f t="shared" si="7"/>
        <v>130.36144803005834</v>
      </c>
      <c r="E62" s="18">
        <f t="shared" si="7"/>
        <v>139.52318471789869</v>
      </c>
      <c r="F62" s="18">
        <f t="shared" si="7"/>
        <v>148.68492140573903</v>
      </c>
      <c r="G62" s="18">
        <f t="shared" si="7"/>
        <v>157.84665809357938</v>
      </c>
      <c r="H62" s="18">
        <f t="shared" si="7"/>
        <v>167.00839478141967</v>
      </c>
    </row>
    <row r="63" spans="2:16" x14ac:dyDescent="0.2">
      <c r="C63" s="21">
        <f>$C$20+(0.015)</f>
        <v>0.11546584043391107</v>
      </c>
      <c r="D63" s="18">
        <f t="shared" si="7"/>
        <v>110.61677477993727</v>
      </c>
      <c r="E63" s="18">
        <f t="shared" si="7"/>
        <v>117.9950110700418</v>
      </c>
      <c r="F63" s="18">
        <f t="shared" si="7"/>
        <v>125.37324736014632</v>
      </c>
      <c r="G63" s="18">
        <f t="shared" si="7"/>
        <v>132.75148365025089</v>
      </c>
      <c r="H63" s="18">
        <f t="shared" si="7"/>
        <v>140.12971994035539</v>
      </c>
    </row>
    <row r="64" spans="2:16" x14ac:dyDescent="0.2">
      <c r="C64" s="21">
        <f>$C$20+(0.03)</f>
        <v>0.13046584043391107</v>
      </c>
      <c r="D64" s="18">
        <f t="shared" si="7"/>
        <v>96.488518902798049</v>
      </c>
      <c r="E64" s="18">
        <f t="shared" si="7"/>
        <v>102.60213697046044</v>
      </c>
      <c r="F64" s="18">
        <f t="shared" si="7"/>
        <v>108.71575503812282</v>
      </c>
      <c r="G64" s="18">
        <f t="shared" si="7"/>
        <v>114.82937310578519</v>
      </c>
      <c r="H64" s="18">
        <f t="shared" si="7"/>
        <v>120.94299117344757</v>
      </c>
    </row>
    <row r="66" spans="2:2" x14ac:dyDescent="0.2">
      <c r="B66" s="1" t="s">
        <v>89</v>
      </c>
    </row>
    <row r="67" spans="2:2" x14ac:dyDescent="0.2">
      <c r="B67" t="s">
        <v>90</v>
      </c>
    </row>
    <row r="68" spans="2:2" x14ac:dyDescent="0.2">
      <c r="B68" t="s">
        <v>91</v>
      </c>
    </row>
    <row r="69" spans="2:2" x14ac:dyDescent="0.2">
      <c r="B69" t="s">
        <v>92</v>
      </c>
    </row>
    <row r="70" spans="2:2" x14ac:dyDescent="0.2">
      <c r="B70" t="s">
        <v>93</v>
      </c>
    </row>
    <row r="71" spans="2:2" x14ac:dyDescent="0.2">
      <c r="B7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2026-10-15T01:11:10Z</dcterms:modified>
</cp:coreProperties>
</file>