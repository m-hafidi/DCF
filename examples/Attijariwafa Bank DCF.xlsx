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200" windowHeight="19220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&quot;$&quot;#,##0.00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0" fillId="0" borderId="0" pivotButton="0" quotePrefix="0" xfId="0"/>
    <xf numFmtId="168" fontId="2" fillId="0" borderId="0" pivotButton="0" quotePrefix="0" xfId="0"/>
    <xf numFmtId="2" fontId="2" fillId="2" borderId="0" pivotButton="0" quotePrefix="0" xfId="0"/>
    <xf numFmtId="168" fontId="2" fillId="2" borderId="0" pivotButton="0" quotePrefix="0" xfId="0"/>
    <xf numFmtId="168" fontId="3" fillId="0" borderId="0" pivotButton="0" quotePrefix="0" xfId="0"/>
    <xf numFmtId="168" fontId="0" fillId="0" borderId="0" pivotButton="0" quotePrefix="0" xfId="0"/>
    <xf numFmtId="168" fontId="1" fillId="0" borderId="0" pivotButton="0" quotePrefix="0" xfId="0"/>
    <xf numFmtId="0" fontId="1" fillId="3" borderId="0" applyAlignment="1" pivotButton="0" quotePrefix="0" xfId="0">
      <alignment horizontal="right"/>
    </xf>
    <xf numFmtId="167" fontId="1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8" fontId="1" fillId="2" borderId="0" pivotButton="0" quotePrefix="0" xfId="0"/>
    <xf numFmtId="170" fontId="0" fillId="0" borderId="0" pivotButton="0" quotePrefix="0" xfId="0"/>
    <xf numFmtId="168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1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min="1" max="1"/>
    <col width="44" customWidth="1" min="2" max="2"/>
    <col width="13" customWidth="1" min="3" max="3"/>
    <col width="11" customWidth="1" min="4" max="15"/>
    <col width="120" customWidth="1" min="16" max="16"/>
  </cols>
  <sheetData>
    <row r="2">
      <c r="B2" s="1" t="inlineStr">
        <is>
          <t>Attijariwafa Bank (ATW) · Independent 10-year DCF</t>
        </is>
      </c>
    </row>
    <row r="3">
      <c r="B3" t="inlineStr">
        <is>
          <t>MAD millions unless stated · valuation date 14 Oct 2026 · blue = input, black = formula, yellow = key judgment</t>
        </is>
      </c>
    </row>
    <row r="5">
      <c r="B5" s="1" t="inlineStr">
        <is>
          <t>INPUTS</t>
        </is>
      </c>
    </row>
    <row r="6">
      <c r="B6" t="inlineStr">
        <is>
          <t>Valuation date</t>
        </is>
      </c>
      <c r="C6" s="2" t="n">
        <v>46309</v>
      </c>
      <c r="P6" t="inlineStr">
        <is>
          <t>Today</t>
        </is>
      </c>
    </row>
    <row r="7">
      <c r="B7" t="inlineStr">
        <is>
          <t>Share price (MAD)</t>
        </is>
      </c>
      <c r="C7" s="3" t="n">
        <v>670</v>
      </c>
      <c r="P7" t="inlineStr">
        <is>
          <t>Attijariwafa Bank share price, close on the Casablanca Stock Exchange, around MAD 670 in October 2026.</t>
        </is>
      </c>
    </row>
    <row r="8">
      <c r="B8" t="inlineStr">
        <is>
          <t>Shares outstanding (millions)</t>
        </is>
      </c>
      <c r="C8" s="4" t="n">
        <v>215.14</v>
      </c>
      <c r="P8" t="inlineStr">
        <is>
          <t>About 215.14m shares, the bank's stated capital.</t>
        </is>
      </c>
    </row>
    <row r="9">
      <c r="B9" t="inlineStr">
        <is>
          <t>Calendar 2025 revenue</t>
        </is>
      </c>
      <c r="C9" s="5" t="n">
        <v>34900</v>
      </c>
      <c r="P9" t="inlineStr">
        <is>
          <t>Net banking income (produit net bancaire), the bank's top line, FY2025, about MAD 34,900m.</t>
        </is>
      </c>
    </row>
    <row r="10">
      <c r="B10" t="inlineStr">
        <is>
          <t>Net cash / (net debt)</t>
        </is>
      </c>
      <c r="C10" s="6" t="n">
        <v>0</v>
      </c>
      <c r="P10" t="inlineStr">
        <is>
          <t>A bank: deposits fund the balance sheet, so there is no separate net cash or net debt in this template. Set to zero.</t>
        </is>
      </c>
    </row>
    <row r="11">
      <c r="B11" t="inlineStr">
        <is>
          <t>Total debt</t>
        </is>
      </c>
      <c r="C11" s="5" t="n">
        <v>0</v>
      </c>
      <c r="P11" t="inlineStr">
        <is>
          <t>No financial debt is entered; the cost of capital is therefore all equity.</t>
        </is>
      </c>
    </row>
    <row r="12">
      <c r="B12" t="inlineStr">
        <is>
          <t>Risk-free rate (Morocco 10-yr)</t>
        </is>
      </c>
      <c r="C12" s="7" t="n">
        <v>0.0367</v>
      </c>
      <c r="P12" t="inlineStr">
        <is>
          <t>Morocco 10-year Treasury yield, about 3.67% in October 2026.</t>
        </is>
      </c>
    </row>
    <row r="13">
      <c r="B13" t="inlineStr">
        <is>
          <t>Beta</t>
        </is>
      </c>
      <c r="C13" s="8" t="n">
        <v>1.1</v>
      </c>
      <c r="P13" t="inlineStr">
        <is>
          <t>Judgment. Banks are the biggest sector in the MASI, so 1.1 is a mid-range beta measured against that index.</t>
        </is>
      </c>
    </row>
    <row r="14">
      <c r="B14" t="inlineStr">
        <is>
          <t>Equity risk premium</t>
        </is>
      </c>
      <c r="C14" s="9" t="n">
        <v>0.045</v>
      </c>
      <c r="P14" t="inlineStr">
        <is>
          <t>Judgment: mature-market equity risk premium, 4.5%, the same as the other models.</t>
        </is>
      </c>
    </row>
    <row r="15">
      <c r="B15" t="inlineStr">
        <is>
          <t>Country risk premium</t>
        </is>
      </c>
      <c r="C15" s="7" t="n">
        <v>0.025</v>
      </c>
      <c r="P15" t="inlineStr">
        <is>
          <t>Morocco country risk premium, about 2.5%, added on top of the mature-market premium.</t>
        </is>
      </c>
    </row>
    <row r="16">
      <c r="B16" t="inlineStr">
        <is>
          <t>Cost of equity</t>
        </is>
      </c>
      <c r="C16" s="10">
        <f>C12+C13*C14+C15</f>
        <v/>
      </c>
      <c r="P16" t="inlineStr">
        <is>
          <t>Risk-free rate + beta × equity risk premium + country premium</t>
        </is>
      </c>
    </row>
    <row r="17">
      <c r="B17" t="inlineStr">
        <is>
          <t>Cost of debt (before tax)</t>
        </is>
      </c>
      <c r="C17" s="7" t="n">
        <v>0.045</v>
      </c>
      <c r="P17" t="inlineStr">
        <is>
          <t>Judgment: a large Moroccan bank funds itself near the risk-free rate plus a thin spread, about 4.5%.</t>
        </is>
      </c>
    </row>
    <row r="18">
      <c r="B18" t="inlineStr">
        <is>
          <t>Tax saving on interest</t>
        </is>
      </c>
      <c r="C18" s="7" t="n">
        <v>0.4</v>
      </c>
      <c r="P18" t="inlineStr">
        <is>
          <t>Moroccan banks pay corporate tax at 40%, so interest shields a lot of tax.</t>
        </is>
      </c>
    </row>
    <row r="19">
      <c r="B19" t="inlineStr">
        <is>
          <t>Debt share of capital</t>
        </is>
      </c>
      <c r="C19" s="11">
        <f>C11/(C11+C7*C8)</f>
        <v/>
      </c>
      <c r="P19" t="inlineStr">
        <is>
          <t>Total debt ÷ (total debt + market value of the shares)</t>
        </is>
      </c>
    </row>
    <row r="20">
      <c r="B20" t="inlineStr">
        <is>
          <t>WACC</t>
        </is>
      </c>
      <c r="C20" s="12">
        <f>C16*(1-C19)+C17*(1-C18)*C19</f>
        <v/>
      </c>
      <c r="P20" t="inlineStr">
        <is>
          <t>Weighted average cost of capital: the discount rate</t>
        </is>
      </c>
    </row>
    <row r="21">
      <c r="B21" t="inlineStr">
        <is>
          <t>Tax rate (forecast)</t>
        </is>
      </c>
      <c r="C21" s="9" t="n">
        <v>0.4</v>
      </c>
      <c r="P21" t="inlineStr">
        <is>
          <t>Moroccan corporate tax rate for banks and large firms, 40%.</t>
        </is>
      </c>
    </row>
    <row r="22">
      <c r="B22" t="inlineStr">
        <is>
          <t>Net investment (% of revenue)</t>
        </is>
      </c>
      <c r="C22" s="9" t="n">
        <v>0.08</v>
      </c>
      <c r="P22" t="inlineStr">
        <is>
          <t>Judgment: each MAD 1 of net new revenue ties up about 8 santimat of capital (regulatory capital plus fixed assets).</t>
        </is>
      </c>
    </row>
    <row r="23">
      <c r="B23" t="inlineStr">
        <is>
          <t>Terminal growth</t>
        </is>
      </c>
      <c r="C23" s="7" t="n">
        <v>0.03</v>
      </c>
      <c r="P23" t="inlineStr">
        <is>
          <t>Terminal growth of 3%: Moroccan nominal GDP grows in the 4–5% range.</t>
        </is>
      </c>
    </row>
    <row r="24">
      <c r="B24" t="inlineStr">
        <is>
          <t>Terminal ROIC</t>
        </is>
      </c>
      <c r="C24" s="7" t="n">
        <v>0.12</v>
      </c>
      <c r="P24" t="inlineStr">
        <is>
          <t>Terminal return on capital of 12%: a well-run bank earns a modest spread over its cost of capital.</t>
        </is>
      </c>
    </row>
    <row r="25">
      <c r="B25" t="inlineStr">
        <is>
          <t>Terminal operating margin</t>
        </is>
      </c>
      <c r="C25" s="9" t="n">
        <v>0.5</v>
      </c>
      <c r="P25" t="inlineStr">
        <is>
          <t>Long-run operating margin of 50%: the 2025 ratio was about 51.6%; it drifts down as competition grows.</t>
        </is>
      </c>
    </row>
    <row r="26">
      <c r="B26" t="inlineStr">
        <is>
          <t>Terminal tax rate</t>
        </is>
      </c>
      <c r="C26" s="7" t="n">
        <v>0.4</v>
      </c>
      <c r="P26" t="inlineStr">
        <is>
          <t>Long-run rate</t>
        </is>
      </c>
    </row>
    <row r="29">
      <c r="B29" s="1" t="inlineStr">
        <is>
          <t>PROJECTION</t>
        </is>
      </c>
    </row>
    <row r="30">
      <c r="D30" s="13" t="inlineStr">
        <is>
          <t>2025A</t>
        </is>
      </c>
      <c r="E30" s="13" t="inlineStr">
        <is>
          <t>2026E</t>
        </is>
      </c>
      <c r="F30" s="13" t="inlineStr">
        <is>
          <t>2027E</t>
        </is>
      </c>
      <c r="G30" s="13" t="inlineStr">
        <is>
          <t>2028E</t>
        </is>
      </c>
      <c r="H30" s="13" t="inlineStr">
        <is>
          <t>2029E</t>
        </is>
      </c>
      <c r="I30" s="13" t="inlineStr">
        <is>
          <t>2030E</t>
        </is>
      </c>
      <c r="J30" s="13" t="inlineStr">
        <is>
          <t>2031E</t>
        </is>
      </c>
      <c r="K30" s="13" t="inlineStr">
        <is>
          <t>2032E</t>
        </is>
      </c>
      <c r="L30" s="13" t="inlineStr">
        <is>
          <t>2033E</t>
        </is>
      </c>
      <c r="M30" s="13" t="inlineStr">
        <is>
          <t>2034E</t>
        </is>
      </c>
      <c r="N30" s="13" t="inlineStr">
        <is>
          <t>2035E</t>
        </is>
      </c>
      <c r="O30" s="13" t="inlineStr">
        <is>
          <t>Terminal</t>
        </is>
      </c>
    </row>
    <row r="31">
      <c r="B31" t="inlineStr">
        <is>
          <t>Revenue growth</t>
        </is>
      </c>
      <c r="E31" s="9" t="n">
        <v>0.06</v>
      </c>
      <c r="F31" s="9" t="n">
        <v>0.055</v>
      </c>
      <c r="G31" s="9" t="n">
        <v>0.05</v>
      </c>
      <c r="H31" s="9" t="n">
        <v>0.05</v>
      </c>
      <c r="I31" s="9" t="n">
        <v>0.045</v>
      </c>
      <c r="J31" s="9" t="n">
        <v>0.04</v>
      </c>
      <c r="K31" s="9" t="n">
        <v>0.04</v>
      </c>
      <c r="L31" s="9" t="n">
        <v>0.035</v>
      </c>
      <c r="M31" s="9" t="n">
        <v>0.03</v>
      </c>
      <c r="N31" s="9" t="n">
        <v>0.03</v>
      </c>
      <c r="O31" s="11">
        <f>C23</f>
        <v/>
      </c>
      <c r="P31" t="inlineStr">
        <is>
          <t>Revenue growth of about 6% fading to 3%: net banking income has grown mid-single digits in recent years.</t>
        </is>
      </c>
    </row>
    <row r="32">
      <c r="B32" s="1" t="inlineStr">
        <is>
          <t>Revenue</t>
        </is>
      </c>
      <c r="D32" s="6">
        <f>C9</f>
        <v/>
      </c>
      <c r="E32" s="6">
        <f>D32*(1+E31)</f>
        <v/>
      </c>
      <c r="F32" s="6">
        <f>E32*(1+F31)</f>
        <v/>
      </c>
      <c r="G32" s="6">
        <f>F32*(1+G31)</f>
        <v/>
      </c>
      <c r="H32" s="6">
        <f>G32*(1+H31)</f>
        <v/>
      </c>
      <c r="I32" s="6">
        <f>H32*(1+I31)</f>
        <v/>
      </c>
      <c r="J32" s="6">
        <f>I32*(1+J31)</f>
        <v/>
      </c>
      <c r="K32" s="6">
        <f>J32*(1+K31)</f>
        <v/>
      </c>
      <c r="L32" s="6">
        <f>K32*(1+L31)</f>
        <v/>
      </c>
      <c r="M32" s="6">
        <f>L32*(1+M31)</f>
        <v/>
      </c>
      <c r="N32" s="6">
        <f>M32*(1+N31)</f>
        <v/>
      </c>
      <c r="O32" s="6">
        <f>N32*(1+O31)</f>
        <v/>
      </c>
    </row>
    <row r="33">
      <c r="B33" t="inlineStr">
        <is>
          <t>Operating margin</t>
        </is>
      </c>
      <c r="D33" s="11" t="n">
        <v>0.516</v>
      </c>
      <c r="E33" s="9" t="n">
        <v>0.516</v>
      </c>
      <c r="F33" s="9" t="n">
        <v>0.515</v>
      </c>
      <c r="G33" s="9" t="n">
        <v>0.51</v>
      </c>
      <c r="H33" s="9" t="n">
        <v>0.51</v>
      </c>
      <c r="I33" s="9" t="n">
        <v>0.505</v>
      </c>
      <c r="J33" s="9" t="n">
        <v>0.5</v>
      </c>
      <c r="K33" s="9" t="n">
        <v>0.5</v>
      </c>
      <c r="L33" s="9" t="n">
        <v>0.5</v>
      </c>
      <c r="M33" s="9" t="n">
        <v>0.5</v>
      </c>
      <c r="N33" s="9" t="n">
        <v>0.5</v>
      </c>
      <c r="O33" s="11">
        <f>C25</f>
        <v/>
      </c>
      <c r="P33" t="inlineStr">
        <is>
          <t>Operating margin of about 51.6% in 2025, easing to 50% long run.</t>
        </is>
      </c>
    </row>
    <row r="34">
      <c r="B34" t="inlineStr">
        <is>
          <t>EBIT</t>
        </is>
      </c>
      <c r="E34" s="6">
        <f>E32*E33</f>
        <v/>
      </c>
      <c r="F34" s="6">
        <f>F32*F33</f>
        <v/>
      </c>
      <c r="G34" s="6">
        <f>G32*G33</f>
        <v/>
      </c>
      <c r="H34" s="6">
        <f>H32*H33</f>
        <v/>
      </c>
      <c r="I34" s="6">
        <f>I32*I33</f>
        <v/>
      </c>
      <c r="J34" s="6">
        <f>J32*J33</f>
        <v/>
      </c>
      <c r="K34" s="6">
        <f>K32*K33</f>
        <v/>
      </c>
      <c r="L34" s="6">
        <f>L32*L33</f>
        <v/>
      </c>
      <c r="M34" s="6">
        <f>M32*M33</f>
        <v/>
      </c>
      <c r="N34" s="6">
        <f>N32*N33</f>
        <v/>
      </c>
      <c r="O34" s="6">
        <f>O32*O33</f>
        <v/>
      </c>
    </row>
    <row r="35">
      <c r="B35" t="inlineStr">
        <is>
          <t>NOPAT</t>
        </is>
      </c>
      <c r="E35" s="6">
        <f>E34*(1-$C$21)</f>
        <v/>
      </c>
      <c r="F35" s="6">
        <f>F34*(1-$C$21)</f>
        <v/>
      </c>
      <c r="G35" s="6">
        <f>G34*(1-$C$21)</f>
        <v/>
      </c>
      <c r="H35" s="6">
        <f>H34*(1-$C$21)</f>
        <v/>
      </c>
      <c r="I35" s="6">
        <f>I34*(1-$C$21)</f>
        <v/>
      </c>
      <c r="J35" s="6">
        <f>J34*(1-$C$21)</f>
        <v/>
      </c>
      <c r="K35" s="6">
        <f>K34*(1-$C$21)</f>
        <v/>
      </c>
      <c r="L35" s="6">
        <f>L34*(1-$C$21)</f>
        <v/>
      </c>
      <c r="M35" s="6">
        <f>M34*(1-$C$21)</f>
        <v/>
      </c>
      <c r="N35" s="6">
        <f>N34*(1-$C$21)</f>
        <v/>
      </c>
      <c r="O35" s="6">
        <f>O34*(1-C26)</f>
        <v/>
      </c>
    </row>
    <row r="36">
      <c r="B36" t="inlineStr">
        <is>
          <t>Less: net investment (revenue × rate)</t>
        </is>
      </c>
      <c r="E36" s="6">
        <f>-E32*$C$22</f>
        <v/>
      </c>
      <c r="F36" s="6">
        <f>-F32*$C$22</f>
        <v/>
      </c>
      <c r="G36" s="6">
        <f>-G32*$C$22</f>
        <v/>
      </c>
      <c r="H36" s="6">
        <f>-H32*$C$22</f>
        <v/>
      </c>
      <c r="I36" s="6">
        <f>-I32*$C$22</f>
        <v/>
      </c>
      <c r="J36" s="6">
        <f>-J32*$C$22</f>
        <v/>
      </c>
      <c r="K36" s="6">
        <f>-K32*$C$22</f>
        <v/>
      </c>
      <c r="L36" s="6">
        <f>-L32*$C$22</f>
        <v/>
      </c>
      <c r="M36" s="6">
        <f>-M32*$C$22</f>
        <v/>
      </c>
      <c r="N36" s="6">
        <f>-N32*$C$22</f>
        <v/>
      </c>
      <c r="O36" s="6">
        <f>-O35*C23/C24</f>
        <v/>
      </c>
      <c r="P36" t="inlineStr">
        <is>
          <t>Capital spending above depreciation, as a share of revenue. Terminal: NOPAT × growth ÷ ROIC</t>
        </is>
      </c>
    </row>
    <row r="37">
      <c r="B37" s="1" t="inlineStr">
        <is>
          <t>Free cash flow to firm</t>
        </is>
      </c>
      <c r="E37" s="14">
        <f>E35+E36</f>
        <v/>
      </c>
      <c r="F37" s="14">
        <f>F35+F36</f>
        <v/>
      </c>
      <c r="G37" s="14">
        <f>G35+G36</f>
        <v/>
      </c>
      <c r="H37" s="14">
        <f>H35+H36</f>
        <v/>
      </c>
      <c r="I37" s="14">
        <f>I35+I36</f>
        <v/>
      </c>
      <c r="J37" s="14">
        <f>J35+J36</f>
        <v/>
      </c>
      <c r="K37" s="14">
        <f>K35+K36</f>
        <v/>
      </c>
      <c r="L37" s="14">
        <f>L35+L36</f>
        <v/>
      </c>
      <c r="M37" s="14">
        <f>M35+M36</f>
        <v/>
      </c>
      <c r="N37" s="14">
        <f>N35+N36</f>
        <v/>
      </c>
      <c r="O37" s="14">
        <f>O35+O36</f>
        <v/>
      </c>
    </row>
    <row r="38">
      <c r="B38" t="inlineStr">
        <is>
          <t>Share of year counted</t>
        </is>
      </c>
      <c r="E38" s="11">
        <f>(DATE(2026,12,31)-$C$6)/365</f>
        <v/>
      </c>
      <c r="F38" s="11" t="n">
        <v>1</v>
      </c>
      <c r="G38" s="11" t="n">
        <v>1</v>
      </c>
      <c r="H38" s="11" t="n">
        <v>1</v>
      </c>
      <c r="I38" s="11" t="n">
        <v>1</v>
      </c>
      <c r="J38" s="11" t="n">
        <v>1</v>
      </c>
      <c r="K38" s="11" t="n">
        <v>1</v>
      </c>
      <c r="L38" s="11" t="n">
        <v>1</v>
      </c>
      <c r="M38" s="11" t="n">
        <v>1</v>
      </c>
      <c r="N38" s="11" t="n">
        <v>1</v>
      </c>
    </row>
    <row r="39">
      <c r="B39" t="inlineStr">
        <is>
          <t>Years to cash flow (mid-year)</t>
        </is>
      </c>
      <c r="E39" s="15">
        <f>E38/2</f>
        <v/>
      </c>
      <c r="F39" s="15">
        <f>$E$38+1-0.5</f>
        <v/>
      </c>
      <c r="G39" s="15">
        <f>$E$38+2-0.5</f>
        <v/>
      </c>
      <c r="H39" s="15">
        <f>$E$38+3-0.5</f>
        <v/>
      </c>
      <c r="I39" s="15">
        <f>$E$38+4-0.5</f>
        <v/>
      </c>
      <c r="J39" s="15">
        <f>$E$38+5-0.5</f>
        <v/>
      </c>
      <c r="K39" s="15">
        <f>$E$38+6-0.5</f>
        <v/>
      </c>
      <c r="L39" s="15">
        <f>$E$38+7-0.5</f>
        <v/>
      </c>
      <c r="M39" s="15">
        <f>$E$38+8-0.5</f>
        <v/>
      </c>
      <c r="N39" s="15">
        <f>$E$38+9-0.5</f>
        <v/>
      </c>
    </row>
    <row r="40">
      <c r="B40" t="inlineStr">
        <is>
          <t>Discount factor</t>
        </is>
      </c>
      <c r="E40" s="16">
        <f>1/(1+$C$20)^E39</f>
        <v/>
      </c>
      <c r="F40" s="16">
        <f>1/(1+$C$20)^F39</f>
        <v/>
      </c>
      <c r="G40" s="16">
        <f>1/(1+$C$20)^G39</f>
        <v/>
      </c>
      <c r="H40" s="16">
        <f>1/(1+$C$20)^H39</f>
        <v/>
      </c>
      <c r="I40" s="16">
        <f>1/(1+$C$20)^I39</f>
        <v/>
      </c>
      <c r="J40" s="16">
        <f>1/(1+$C$20)^J39</f>
        <v/>
      </c>
      <c r="K40" s="16">
        <f>1/(1+$C$20)^K39</f>
        <v/>
      </c>
      <c r="L40" s="16">
        <f>1/(1+$C$20)^L39</f>
        <v/>
      </c>
      <c r="M40" s="16">
        <f>1/(1+$C$20)^M39</f>
        <v/>
      </c>
      <c r="N40" s="16">
        <f>1/(1+$C$20)^N39</f>
        <v/>
      </c>
    </row>
    <row r="41">
      <c r="B41" s="1" t="inlineStr">
        <is>
          <t>Present value</t>
        </is>
      </c>
      <c r="E41" s="14">
        <f>E37*E38*E40</f>
        <v/>
      </c>
      <c r="F41" s="14">
        <f>F37*F38*F40</f>
        <v/>
      </c>
      <c r="G41" s="14">
        <f>G37*G38*G40</f>
        <v/>
      </c>
      <c r="H41" s="14">
        <f>H37*H38*H40</f>
        <v/>
      </c>
      <c r="I41" s="14">
        <f>I37*I38*I40</f>
        <v/>
      </c>
      <c r="J41" s="14">
        <f>J37*J38*J40</f>
        <v/>
      </c>
      <c r="K41" s="14">
        <f>K37*K38*K40</f>
        <v/>
      </c>
      <c r="L41" s="14">
        <f>L37*L38*L40</f>
        <v/>
      </c>
      <c r="M41" s="14">
        <f>M37*M38*M40</f>
        <v/>
      </c>
      <c r="N41" s="14">
        <f>N37*N38*N40</f>
        <v/>
      </c>
    </row>
    <row r="43">
      <c r="B43" s="1" t="inlineStr">
        <is>
          <t>VALUATION</t>
        </is>
      </c>
    </row>
    <row r="44">
      <c r="B44" t="inlineStr">
        <is>
          <t>PV of 2026–2035 cash flows</t>
        </is>
      </c>
      <c r="D44" s="6">
        <f>SUM(E41:N41)</f>
        <v/>
      </c>
    </row>
    <row r="45">
      <c r="B45" t="inlineStr">
        <is>
          <t>Terminal value (end of 2035)</t>
        </is>
      </c>
      <c r="D45" s="6">
        <f>O37/(C20-C23)</f>
        <v/>
      </c>
    </row>
    <row r="46">
      <c r="B46" t="inlineStr">
        <is>
          <t>PV of terminal value</t>
        </is>
      </c>
      <c r="D46" s="6">
        <f>D45/(1+C20)^(E38+9)</f>
        <v/>
      </c>
    </row>
    <row r="47">
      <c r="B47" s="1" t="inlineStr">
        <is>
          <t>Enterprise value</t>
        </is>
      </c>
      <c r="D47" s="14">
        <f>D44+D46</f>
        <v/>
      </c>
    </row>
    <row r="48">
      <c r="B48" t="inlineStr">
        <is>
          <t xml:space="preserve">  Terminal value share of EV</t>
        </is>
      </c>
      <c r="D48" s="11">
        <f>D46/D47</f>
        <v/>
      </c>
    </row>
    <row r="49">
      <c r="B49" t="inlineStr">
        <is>
          <t>Plus: net cash / (less: net debt)</t>
        </is>
      </c>
      <c r="D49" s="6">
        <f>C10</f>
        <v/>
      </c>
    </row>
    <row r="50">
      <c r="B50" s="1" t="inlineStr">
        <is>
          <t>Equity value</t>
        </is>
      </c>
      <c r="D50" s="14">
        <f>D47+D49</f>
        <v/>
      </c>
    </row>
    <row r="51">
      <c r="B51" s="1" t="inlineStr">
        <is>
          <t>Value per share (MAD)</t>
        </is>
      </c>
      <c r="D51" s="17">
        <f>D50/C8</f>
        <v>543.3969673</v>
      </c>
    </row>
    <row r="52">
      <c r="B52" t="inlineStr">
        <is>
          <t>Current price (MAD)</t>
        </is>
      </c>
      <c r="D52" s="18">
        <f>C7</f>
        <v/>
      </c>
    </row>
    <row r="53">
      <c r="B53" s="1" t="inlineStr">
        <is>
          <t>Upside / (downside)</t>
        </is>
      </c>
      <c r="D53" s="19">
        <f>D51/D52-1</f>
        <v/>
      </c>
    </row>
    <row r="54">
      <c r="B54" t="inlineStr">
        <is>
          <t>Current P/E (on FY2025 EPS)</t>
        </is>
      </c>
      <c r="D54" s="20">
        <f>C7/23.4</f>
        <v>28.63247863</v>
      </c>
      <c r="P54" t="inlineStr">
        <is>
          <t>FY2025 earnings per share of about MAD 23.40 (group net income ÷ shares); an estimate, treat as approximate.</t>
        </is>
      </c>
    </row>
    <row r="55">
      <c r="B55" t="inlineStr">
        <is>
          <t>P/E at DCF value</t>
        </is>
      </c>
      <c r="D55" s="20">
        <f>D51/23.4</f>
        <v>23.22209262</v>
      </c>
    </row>
    <row r="58">
      <c r="B58" s="1" t="inlineStr">
        <is>
          <t>SENSITIVITY: value per share (MAD)</t>
        </is>
      </c>
    </row>
    <row r="59">
      <c r="B59" t="inlineStr">
        <is>
          <t>WACC ↓ / terminal operating margin →</t>
        </is>
      </c>
      <c r="D59" s="21" t="n">
        <v>0.45</v>
      </c>
      <c r="E59" s="21" t="n">
        <v>0.475</v>
      </c>
      <c r="F59" s="21" t="n">
        <v>0.5</v>
      </c>
      <c r="G59" s="21" t="n">
        <v>0.525</v>
      </c>
      <c r="H59" s="21" t="n">
        <v>0.55</v>
      </c>
    </row>
    <row r="60">
      <c r="C60" s="21">
        <f>$C$20+(-0.03)</f>
        <v/>
      </c>
      <c r="D60" s="18">
        <f>(SUMPRODUCT($E$37:$H$37,$E$38:$H$38,1/(1+$C60)^$E$39:$H$39)+SUMPRODUCT($I$32:$N$32*($I$33:$N$33+D$59-$C$25)*(1-$C$21)+$I$36:$N$36,1/(1+$C60)^$I$39:$N$39)+$O$32*D$59*(1-$C$26)*(1-$C$23/$C$24)/($C60-$C$23)/(1+$C60)^($E$38+9)+$C$10)/$C$8</f>
        <v/>
      </c>
      <c r="E60" s="18">
        <f>(SUMPRODUCT($E$37:$H$37,$E$38:$H$38,1/(1+$C60)^$E$39:$H$39)+SUMPRODUCT($I$32:$N$32*($I$33:$N$33+E$59-$C$25)*(1-$C$21)+$I$36:$N$36,1/(1+$C60)^$I$39:$N$39)+$O$32*E$59*(1-$C$26)*(1-$C$23/$C$24)/($C60-$C$23)/(1+$C60)^($E$38+9)+$C$10)/$C$8</f>
        <v/>
      </c>
      <c r="F60" s="18">
        <f>(SUMPRODUCT($E$37:$H$37,$E$38:$H$38,1/(1+$C60)^$E$39:$H$39)+SUMPRODUCT($I$32:$N$32*($I$33:$N$33+F$59-$C$25)*(1-$C$21)+$I$36:$N$36,1/(1+$C60)^$I$39:$N$39)+$O$32*F$59*(1-$C$26)*(1-$C$23/$C$24)/($C60-$C$23)/(1+$C60)^($E$38+9)+$C$10)/$C$8</f>
        <v/>
      </c>
      <c r="G60" s="18">
        <f>(SUMPRODUCT($E$37:$H$37,$E$38:$H$38,1/(1+$C60)^$E$39:$H$39)+SUMPRODUCT($I$32:$N$32*($I$33:$N$33+G$59-$C$25)*(1-$C$21)+$I$36:$N$36,1/(1+$C60)^$I$39:$N$39)+$O$32*G$59*(1-$C$26)*(1-$C$23/$C$24)/($C60-$C$23)/(1+$C60)^($E$38+9)+$C$10)/$C$8</f>
        <v/>
      </c>
      <c r="H60" s="18">
        <f>(SUMPRODUCT($E$37:$H$37,$E$38:$H$38,1/(1+$C60)^$E$39:$H$39)+SUMPRODUCT($I$32:$N$32*($I$33:$N$33+H$59-$C$25)*(1-$C$21)+$I$36:$N$36,1/(1+$C60)^$I$39:$N$39)+$O$32*H$59*(1-$C$26)*(1-$C$23/$C$24)/($C60-$C$23)/(1+$C60)^($E$38+9)+$C$10)/$C$8</f>
        <v/>
      </c>
      <c r="P60" t="inlineStr">
        <is>
          <t>Terminal margin set to the column value, and each margin from 2030 on moved by the same amount; centre = base case</t>
        </is>
      </c>
    </row>
    <row r="61">
      <c r="C61" s="21">
        <f>$C$20+(-0.015)</f>
        <v/>
      </c>
      <c r="D61" s="18">
        <f>(SUMPRODUCT($E$37:$H$37,$E$38:$H$38,1/(1+$C61)^$E$39:$H$39)+SUMPRODUCT($I$32:$N$32*($I$33:$N$33+D$59-$C$25)*(1-$C$21)+$I$36:$N$36,1/(1+$C61)^$I$39:$N$39)+$O$32*D$59*(1-$C$26)*(1-$C$23/$C$24)/($C61-$C$23)/(1+$C61)^($E$38+9)+$C$10)/$C$8</f>
        <v/>
      </c>
      <c r="E61" s="18">
        <f>(SUMPRODUCT($E$37:$H$37,$E$38:$H$38,1/(1+$C61)^$E$39:$H$39)+SUMPRODUCT($I$32:$N$32*($I$33:$N$33+E$59-$C$25)*(1-$C$21)+$I$36:$N$36,1/(1+$C61)^$I$39:$N$39)+$O$32*E$59*(1-$C$26)*(1-$C$23/$C$24)/($C61-$C$23)/(1+$C61)^($E$38+9)+$C$10)/$C$8</f>
        <v/>
      </c>
      <c r="F61" s="18">
        <f>(SUMPRODUCT($E$37:$H$37,$E$38:$H$38,1/(1+$C61)^$E$39:$H$39)+SUMPRODUCT($I$32:$N$32*($I$33:$N$33+F$59-$C$25)*(1-$C$21)+$I$36:$N$36,1/(1+$C61)^$I$39:$N$39)+$O$32*F$59*(1-$C$26)*(1-$C$23/$C$24)/($C61-$C$23)/(1+$C61)^($E$38+9)+$C$10)/$C$8</f>
        <v/>
      </c>
      <c r="G61" s="18">
        <f>(SUMPRODUCT($E$37:$H$37,$E$38:$H$38,1/(1+$C61)^$E$39:$H$39)+SUMPRODUCT($I$32:$N$32*($I$33:$N$33+G$59-$C$25)*(1-$C$21)+$I$36:$N$36,1/(1+$C61)^$I$39:$N$39)+$O$32*G$59*(1-$C$26)*(1-$C$23/$C$24)/($C61-$C$23)/(1+$C61)^($E$38+9)+$C$10)/$C$8</f>
        <v/>
      </c>
      <c r="H61" s="18">
        <f>(SUMPRODUCT($E$37:$H$37,$E$38:$H$38,1/(1+$C61)^$E$39:$H$39)+SUMPRODUCT($I$32:$N$32*($I$33:$N$33+H$59-$C$25)*(1-$C$21)+$I$36:$N$36,1/(1+$C61)^$I$39:$N$39)+$O$32*H$59*(1-$C$26)*(1-$C$23/$C$24)/($C61-$C$23)/(1+$C61)^($E$38+9)+$C$10)/$C$8</f>
        <v/>
      </c>
    </row>
    <row r="62">
      <c r="C62" s="21">
        <f>$C$20+(0)</f>
        <v/>
      </c>
      <c r="D62" s="18">
        <f>(SUMPRODUCT($E$37:$H$37,$E$38:$H$38,1/(1+$C62)^$E$39:$H$39)+SUMPRODUCT($I$32:$N$32*($I$33:$N$33+D$59-$C$25)*(1-$C$21)+$I$36:$N$36,1/(1+$C62)^$I$39:$N$39)+$O$32*D$59*(1-$C$26)*(1-$C$23/$C$24)/($C62-$C$23)/(1+$C62)^($E$38+9)+$C$10)/$C$8</f>
        <v/>
      </c>
      <c r="E62" s="18">
        <f>(SUMPRODUCT($E$37:$H$37,$E$38:$H$38,1/(1+$C62)^$E$39:$H$39)+SUMPRODUCT($I$32:$N$32*($I$33:$N$33+E$59-$C$25)*(1-$C$21)+$I$36:$N$36,1/(1+$C62)^$I$39:$N$39)+$O$32*E$59*(1-$C$26)*(1-$C$23/$C$24)/($C62-$C$23)/(1+$C62)^($E$38+9)+$C$10)/$C$8</f>
        <v/>
      </c>
      <c r="F62" s="18">
        <f>(SUMPRODUCT($E$37:$H$37,$E$38:$H$38,1/(1+$C62)^$E$39:$H$39)+SUMPRODUCT($I$32:$N$32*($I$33:$N$33+F$59-$C$25)*(1-$C$21)+$I$36:$N$36,1/(1+$C62)^$I$39:$N$39)+$O$32*F$59*(1-$C$26)*(1-$C$23/$C$24)/($C62-$C$23)/(1+$C62)^($E$38+9)+$C$10)/$C$8</f>
        <v/>
      </c>
      <c r="G62" s="18">
        <f>(SUMPRODUCT($E$37:$H$37,$E$38:$H$38,1/(1+$C62)^$E$39:$H$39)+SUMPRODUCT($I$32:$N$32*($I$33:$N$33+G$59-$C$25)*(1-$C$21)+$I$36:$N$36,1/(1+$C62)^$I$39:$N$39)+$O$32*G$59*(1-$C$26)*(1-$C$23/$C$24)/($C62-$C$23)/(1+$C62)^($E$38+9)+$C$10)/$C$8</f>
        <v/>
      </c>
      <c r="H62" s="18">
        <f>(SUMPRODUCT($E$37:$H$37,$E$38:$H$38,1/(1+$C62)^$E$39:$H$39)+SUMPRODUCT($I$32:$N$32*($I$33:$N$33+H$59-$C$25)*(1-$C$21)+$I$36:$N$36,1/(1+$C62)^$I$39:$N$39)+$O$32*H$59*(1-$C$26)*(1-$C$23/$C$24)/($C62-$C$23)/(1+$C62)^($E$38+9)+$C$10)/$C$8</f>
        <v/>
      </c>
    </row>
    <row r="63">
      <c r="C63" s="21">
        <f>$C$20+(0.015)</f>
        <v/>
      </c>
      <c r="D63" s="18">
        <f>(SUMPRODUCT($E$37:$H$37,$E$38:$H$38,1/(1+$C63)^$E$39:$H$39)+SUMPRODUCT($I$32:$N$32*($I$33:$N$33+D$59-$C$25)*(1-$C$21)+$I$36:$N$36,1/(1+$C63)^$I$39:$N$39)+$O$32*D$59*(1-$C$26)*(1-$C$23/$C$24)/($C63-$C$23)/(1+$C63)^($E$38+9)+$C$10)/$C$8</f>
        <v/>
      </c>
      <c r="E63" s="18">
        <f>(SUMPRODUCT($E$37:$H$37,$E$38:$H$38,1/(1+$C63)^$E$39:$H$39)+SUMPRODUCT($I$32:$N$32*($I$33:$N$33+E$59-$C$25)*(1-$C$21)+$I$36:$N$36,1/(1+$C63)^$I$39:$N$39)+$O$32*E$59*(1-$C$26)*(1-$C$23/$C$24)/($C63-$C$23)/(1+$C63)^($E$38+9)+$C$10)/$C$8</f>
        <v/>
      </c>
      <c r="F63" s="18">
        <f>(SUMPRODUCT($E$37:$H$37,$E$38:$H$38,1/(1+$C63)^$E$39:$H$39)+SUMPRODUCT($I$32:$N$32*($I$33:$N$33+F$59-$C$25)*(1-$C$21)+$I$36:$N$36,1/(1+$C63)^$I$39:$N$39)+$O$32*F$59*(1-$C$26)*(1-$C$23/$C$24)/($C63-$C$23)/(1+$C63)^($E$38+9)+$C$10)/$C$8</f>
        <v/>
      </c>
      <c r="G63" s="18">
        <f>(SUMPRODUCT($E$37:$H$37,$E$38:$H$38,1/(1+$C63)^$E$39:$H$39)+SUMPRODUCT($I$32:$N$32*($I$33:$N$33+G$59-$C$25)*(1-$C$21)+$I$36:$N$36,1/(1+$C63)^$I$39:$N$39)+$O$32*G$59*(1-$C$26)*(1-$C$23/$C$24)/($C63-$C$23)/(1+$C63)^($E$38+9)+$C$10)/$C$8</f>
        <v/>
      </c>
      <c r="H63" s="18">
        <f>(SUMPRODUCT($E$37:$H$37,$E$38:$H$38,1/(1+$C63)^$E$39:$H$39)+SUMPRODUCT($I$32:$N$32*($I$33:$N$33+H$59-$C$25)*(1-$C$21)+$I$36:$N$36,1/(1+$C63)^$I$39:$N$39)+$O$32*H$59*(1-$C$26)*(1-$C$23/$C$24)/($C63-$C$23)/(1+$C63)^($E$38+9)+$C$10)/$C$8</f>
        <v/>
      </c>
    </row>
    <row r="64">
      <c r="C64" s="21">
        <f>$C$20+(0.03)</f>
        <v/>
      </c>
      <c r="D64" s="18">
        <f>(SUMPRODUCT($E$37:$H$37,$E$38:$H$38,1/(1+$C64)^$E$39:$H$39)+SUMPRODUCT($I$32:$N$32*($I$33:$N$33+D$59-$C$25)*(1-$C$21)+$I$36:$N$36,1/(1+$C64)^$I$39:$N$39)+$O$32*D$59*(1-$C$26)*(1-$C$23/$C$24)/($C64-$C$23)/(1+$C64)^($E$38+9)+$C$10)/$C$8</f>
        <v/>
      </c>
      <c r="E64" s="18">
        <f>(SUMPRODUCT($E$37:$H$37,$E$38:$H$38,1/(1+$C64)^$E$39:$H$39)+SUMPRODUCT($I$32:$N$32*($I$33:$N$33+E$59-$C$25)*(1-$C$21)+$I$36:$N$36,1/(1+$C64)^$I$39:$N$39)+$O$32*E$59*(1-$C$26)*(1-$C$23/$C$24)/($C64-$C$23)/(1+$C64)^($E$38+9)+$C$10)/$C$8</f>
        <v/>
      </c>
      <c r="F64" s="18">
        <f>(SUMPRODUCT($E$37:$H$37,$E$38:$H$38,1/(1+$C64)^$E$39:$H$39)+SUMPRODUCT($I$32:$N$32*($I$33:$N$33+F$59-$C$25)*(1-$C$21)+$I$36:$N$36,1/(1+$C64)^$I$39:$N$39)+$O$32*F$59*(1-$C$26)*(1-$C$23/$C$24)/($C64-$C$23)/(1+$C64)^($E$38+9)+$C$10)/$C$8</f>
        <v/>
      </c>
      <c r="G64" s="18">
        <f>(SUMPRODUCT($E$37:$H$37,$E$38:$H$38,1/(1+$C64)^$E$39:$H$39)+SUMPRODUCT($I$32:$N$32*($I$33:$N$33+G$59-$C$25)*(1-$C$21)+$I$36:$N$36,1/(1+$C64)^$I$39:$N$39)+$O$32*G$59*(1-$C$26)*(1-$C$23/$C$24)/($C64-$C$23)/(1+$C64)^($E$38+9)+$C$10)/$C$8</f>
        <v/>
      </c>
      <c r="H64" s="18">
        <f>(SUMPRODUCT($E$37:$H$37,$E$38:$H$38,1/(1+$C64)^$E$39:$H$39)+SUMPRODUCT($I$32:$N$32*($I$33:$N$33+H$59-$C$25)*(1-$C$21)+$I$36:$N$36,1/(1+$C64)^$I$39:$N$39)+$O$32*H$59*(1-$C$26)*(1-$C$23/$C$24)/($C64-$C$23)/(1+$C64)^($E$38+9)+$C$10)/$C$8</f>
        <v/>
      </c>
    </row>
    <row r="66">
      <c r="B66" s="1" t="inlineStr">
        <is>
          <t>Notes</t>
        </is>
      </c>
    </row>
    <row r="67">
      <c r="B67" t="inlineStr">
        <is>
          <t>Base case: MAD 543.40 a share against a price of MAD 670.00 (-18.9%). WACC 11.1%; terminal value is 49% of enterprise value.</t>
        </is>
      </c>
    </row>
    <row r="68">
      <c r="B68" t="inlineStr">
        <is>
          <t>A bank is valued on its net banking income, not sales. The template treats the top line as revenue and taxes operating profit at the 40% Moroccan bank rate.</t>
        </is>
      </c>
    </row>
    <row r="69">
      <c r="B69" t="inlineStr">
        <is>
          <t>The price needs a long-run margin around 63.1% to make sense; the base case uses 50.0%.</t>
        </is>
      </c>
    </row>
    <row r="70">
      <c r="B70" t="inlineStr">
        <is>
          <t>No net debt is entered: a bank's deposits and loans are its business, so the model is all equity.</t>
        </is>
      </c>
    </row>
    <row r="71">
      <c r="B71" t="inlineStr">
        <is>
          <t>Sources: Attijariwafa Bank FY2025 results and the Casablanca Stock Exchange; price as of October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2026-10-06T20:35:55Z</dcterms:created>
  <dcterms:modified xmlns:dcterms="http://purl.org/dc/terms/" xmlns:xsi="http://www.w3.org/2001/XMLSchema-instance" xsi:type="dcterms:W3CDTF">2026-10-16T18:30:56Z</dcterms:modified>
  <cp:lastModifiedBy>Zi Cong Tan</cp:lastModifiedBy>
</cp:coreProperties>
</file>