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200" windowHeight="19220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#,##0.0"/>
    <numFmt numFmtId="166" formatCode="#,##0;\(#,##0\);&quot;-&quot;"/>
    <numFmt numFmtId="167" formatCode="0.0%;\(0.0%\);&quot;-&quot;"/>
    <numFmt numFmtId="168" formatCode="0.000"/>
    <numFmt numFmtId="169" formatCode="0.0&quot;x&quot;"/>
    <numFmt numFmtId="170" formatCode="&quot;$&quot;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FF"/>
      <sz val="11"/>
    </font>
    <font>
      <name val="Calibri"/>
      <family val="2"/>
      <b val="1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2" fontId="2" fillId="2" borderId="0" pivotButton="0" quotePrefix="0" xfId="0"/>
    <xf numFmtId="167" fontId="2" fillId="2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0" fontId="1" fillId="3" borderId="0" applyAlignment="1" pivotButton="0" quotePrefix="0" xfId="0">
      <alignment horizontal="right"/>
    </xf>
    <xf numFmtId="166" fontId="0" fillId="0" borderId="0" pivotButton="0" quotePrefix="0" xfId="0"/>
    <xf numFmtId="166" fontId="1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67" fontId="1" fillId="2" borderId="0" pivotButton="0" quotePrefix="0" xfId="0"/>
    <xf numFmtId="169" fontId="0" fillId="0" borderId="0" pivotButton="0" quotePrefix="0" xfId="0"/>
    <xf numFmtId="167" fontId="0" fillId="3" borderId="0" pivotButton="0" quotePrefix="0" xfId="0"/>
    <xf numFmtId="170" fontId="2" fillId="0" borderId="0" pivotButton="0" quotePrefix="0" xfId="0"/>
    <xf numFmtId="170" fontId="1" fillId="2" borderId="0" pivotButton="0" quotePrefix="0" xfId="0"/>
    <xf numFmtId="170" fontId="0" fillId="0" borderId="0" pivotButton="0" quotePrefix="0" xfId="0"/>
    <xf numFmtId="17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2" fillId="2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8" fontId="0" fillId="0" borderId="0" pivotButton="0" quotePrefix="0" xfId="0"/>
    <xf numFmtId="170" fontId="1" fillId="2" borderId="0" pivotButton="0" quotePrefix="0" xfId="0"/>
    <xf numFmtId="170" fontId="0" fillId="0" borderId="0" pivotButton="0" quotePrefix="0" xfId="0"/>
    <xf numFmtId="167" fontId="1" fillId="2" borderId="0" pivotButton="0" quotePrefix="0" xfId="0"/>
    <xf numFmtId="169" fontId="0" fillId="0" borderId="0" pivotButton="0" quotePrefix="0" xfId="0"/>
    <xf numFmtId="167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1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min="1" max="1"/>
    <col width="44" customWidth="1" min="2" max="2"/>
    <col width="13" customWidth="1" min="3" max="3"/>
    <col width="11" customWidth="1" min="4" max="15"/>
    <col width="120" customWidth="1" min="16" max="16"/>
  </cols>
  <sheetData>
    <row r="2">
      <c r="B2" s="1" t="inlineStr">
        <is>
          <t>Cosumar (CSR) · Independent 10-year DCF</t>
        </is>
      </c>
    </row>
    <row r="3">
      <c r="B3" t="inlineStr">
        <is>
          <t>MAD millions unless stated · valuation date 14 Oct 2026 · blue = input, black = formula, yellow = key judgment</t>
        </is>
      </c>
    </row>
    <row r="5">
      <c r="B5" s="1" t="inlineStr">
        <is>
          <t>INPUTS</t>
        </is>
      </c>
    </row>
    <row r="6">
      <c r="B6" t="inlineStr">
        <is>
          <t>Valuation date</t>
        </is>
      </c>
      <c r="C6" s="2" t="n">
        <v>46309</v>
      </c>
      <c r="P6" t="inlineStr">
        <is>
          <t>Today</t>
        </is>
      </c>
    </row>
    <row r="7">
      <c r="B7" t="inlineStr">
        <is>
          <t>Share price (MAD)</t>
        </is>
      </c>
      <c r="C7" s="22" t="n">
        <v>175</v>
      </c>
      <c r="P7" t="inlineStr">
        <is>
          <t>Cosumar share price, close around MAD 175 in mid-October 2026 (MAD 174.5–177 range).</t>
        </is>
      </c>
    </row>
    <row r="8">
      <c r="B8" t="inlineStr">
        <is>
          <t>Shares outstanding (millions)</t>
        </is>
      </c>
      <c r="C8" s="23" t="n">
        <v>94.48999999999999</v>
      </c>
      <c r="P8" t="inlineStr">
        <is>
          <t>About 94.49m shares outstanding (94,487,143).</t>
        </is>
      </c>
    </row>
    <row r="9">
      <c r="B9" t="inlineStr">
        <is>
          <t>Calendar 2025 revenue</t>
        </is>
      </c>
      <c r="C9" s="24" t="n">
        <v>10487</v>
      </c>
      <c r="P9" t="inlineStr">
        <is>
          <t>FY2025 consolidated revenue, about MAD 10,487m.</t>
        </is>
      </c>
    </row>
    <row r="10">
      <c r="B10" t="inlineStr">
        <is>
          <t>Net cash / (net debt)</t>
        </is>
      </c>
      <c r="C10" s="24" t="n">
        <v>1200</v>
      </c>
      <c r="P10" t="inlineStr">
        <is>
          <t>Estimated net cash of about MAD 1,200m: a sugar refiner that is seasonally cash-rich. Treat as approximate.</t>
        </is>
      </c>
    </row>
    <row r="11">
      <c r="B11" t="inlineStr">
        <is>
          <t>Total debt</t>
        </is>
      </c>
      <c r="C11" s="24" t="n">
        <v>2500</v>
      </c>
      <c r="P11" t="inlineStr">
        <is>
          <t>Estimated gross borrowings of about MAD 2,500m, used only to weight debt in the cost of capital.</t>
        </is>
      </c>
    </row>
    <row r="12">
      <c r="B12" t="inlineStr">
        <is>
          <t>Risk-free rate (Morocco 10-yr)</t>
        </is>
      </c>
      <c r="C12" s="25" t="n">
        <v>0.0367</v>
      </c>
      <c r="P12" t="inlineStr">
        <is>
          <t>Morocco 10-year Treasury yield, about 3.67% in October 2026.</t>
        </is>
      </c>
    </row>
    <row r="13">
      <c r="B13" t="inlineStr">
        <is>
          <t>Beta</t>
        </is>
      </c>
      <c r="C13" s="6" t="n">
        <v>0.6</v>
      </c>
      <c r="P13" t="inlineStr">
        <is>
          <t>Judgment. Sugar demand is stable and regulated; a low beta of 0.6 against the MASI.</t>
        </is>
      </c>
    </row>
    <row r="14">
      <c r="B14" t="inlineStr">
        <is>
          <t>Equity risk premium</t>
        </is>
      </c>
      <c r="C14" s="26" t="n">
        <v>0.045</v>
      </c>
      <c r="P14" t="inlineStr">
        <is>
          <t>Judgment: mature-market equity risk premium, 4.5%, the same as the other models.</t>
        </is>
      </c>
    </row>
    <row r="15">
      <c r="B15" t="inlineStr">
        <is>
          <t>Country risk premium</t>
        </is>
      </c>
      <c r="C15" s="25" t="n">
        <v>0.025</v>
      </c>
      <c r="P15" t="inlineStr">
        <is>
          <t>Morocco country risk premium, about 2.5%.</t>
        </is>
      </c>
    </row>
    <row r="16">
      <c r="B16" t="inlineStr">
        <is>
          <t>Cost of equity</t>
        </is>
      </c>
      <c r="C16" s="27">
        <f>C12+C13*C14+C15</f>
        <v/>
      </c>
      <c r="P16" t="inlineStr">
        <is>
          <t>Risk-free rate + beta × equity risk premium + country premium</t>
        </is>
      </c>
    </row>
    <row r="17">
      <c r="B17" t="inlineStr">
        <is>
          <t>Cost of debt (before tax)</t>
        </is>
      </c>
      <c r="C17" s="25" t="n">
        <v>0.052</v>
      </c>
      <c r="P17" t="inlineStr">
        <is>
          <t>Judgment: a steady diversified issuer, about 5.2%.</t>
        </is>
      </c>
    </row>
    <row r="18">
      <c r="B18" t="inlineStr">
        <is>
          <t>Tax saving on interest</t>
        </is>
      </c>
      <c r="C18" s="25" t="n">
        <v>0.2</v>
      </c>
      <c r="P18" t="inlineStr">
        <is>
          <t>Moroccan corporate tax rate of 20%.</t>
        </is>
      </c>
    </row>
    <row r="19">
      <c r="B19" t="inlineStr">
        <is>
          <t>Debt share of capital</t>
        </is>
      </c>
      <c r="C19" s="28">
        <f>C11/(C11+C7*C8)</f>
        <v/>
      </c>
      <c r="P19" t="inlineStr">
        <is>
          <t>Total debt ÷ (total debt + market value of the shares)</t>
        </is>
      </c>
    </row>
    <row r="20">
      <c r="B20" t="inlineStr">
        <is>
          <t>WACC</t>
        </is>
      </c>
      <c r="C20" s="29">
        <f>C16*(1-C19)+C17*(1-C18)*C19</f>
        <v/>
      </c>
      <c r="P20" t="inlineStr">
        <is>
          <t>Weighted average cost of capital: the discount rate</t>
        </is>
      </c>
    </row>
    <row r="21">
      <c r="B21" t="inlineStr">
        <is>
          <t>Tax rate (forecast)</t>
        </is>
      </c>
      <c r="C21" s="25" t="n">
        <v>0.2</v>
      </c>
      <c r="P21" t="inlineStr">
        <is>
          <t>Moroccan corporate tax rate, 20%.</t>
        </is>
      </c>
    </row>
    <row r="22">
      <c r="B22" t="inlineStr">
        <is>
          <t>Sales-to-capital ratio</t>
        </is>
      </c>
      <c r="C22" s="6" t="n">
        <v>1.4</v>
      </c>
      <c r="P22" t="inlineStr">
        <is>
          <t>Sales-to-capital ratio of 1.4: each MAD 1 of extra revenue needs about 71 santimat of extra capital.</t>
        </is>
      </c>
    </row>
    <row r="23">
      <c r="B23" t="inlineStr">
        <is>
          <t>Terminal growth</t>
        </is>
      </c>
      <c r="C23" s="25" t="n">
        <v>0.025</v>
      </c>
      <c r="P23" t="inlineStr">
        <is>
          <t>Terminal growth of 2.5%: sugar volumes grow with population, and prices are set by policy.</t>
        </is>
      </c>
    </row>
    <row r="24">
      <c r="B24" t="inlineStr">
        <is>
          <t>Terminal ROIC</t>
        </is>
      </c>
      <c r="C24" s="25" t="n">
        <v>0.12</v>
      </c>
      <c r="P24" t="inlineStr">
        <is>
          <t>Terminal return on capital of 12%.</t>
        </is>
      </c>
    </row>
    <row r="25">
      <c r="B25" t="inlineStr">
        <is>
          <t>Terminal operating margin</t>
        </is>
      </c>
      <c r="C25" s="26" t="n">
        <v>0.115</v>
      </c>
      <c r="P25" t="inlineStr">
        <is>
          <t>Long-run operating margin of about 11.5%, close to the FY2025 reported level of about 11%.</t>
        </is>
      </c>
    </row>
    <row r="26">
      <c r="B26" t="inlineStr">
        <is>
          <t>Terminal tax rate</t>
        </is>
      </c>
      <c r="C26" s="25" t="n">
        <v>0.2</v>
      </c>
      <c r="P26" t="inlineStr">
        <is>
          <t>Long-run rate</t>
        </is>
      </c>
    </row>
    <row r="29">
      <c r="B29" s="1" t="inlineStr">
        <is>
          <t>PROJECTION</t>
        </is>
      </c>
    </row>
    <row r="30">
      <c r="D30" s="11" t="inlineStr">
        <is>
          <t>2025A</t>
        </is>
      </c>
      <c r="E30" s="11" t="inlineStr">
        <is>
          <t>2026E</t>
        </is>
      </c>
      <c r="F30" s="11" t="inlineStr">
        <is>
          <t>2027E</t>
        </is>
      </c>
      <c r="G30" s="11" t="inlineStr">
        <is>
          <t>2028E</t>
        </is>
      </c>
      <c r="H30" s="11" t="inlineStr">
        <is>
          <t>2029E</t>
        </is>
      </c>
      <c r="I30" s="11" t="inlineStr">
        <is>
          <t>2030E</t>
        </is>
      </c>
      <c r="J30" s="11" t="inlineStr">
        <is>
          <t>2031E</t>
        </is>
      </c>
      <c r="K30" s="11" t="inlineStr">
        <is>
          <t>2032E</t>
        </is>
      </c>
      <c r="L30" s="11" t="inlineStr">
        <is>
          <t>2033E</t>
        </is>
      </c>
      <c r="M30" s="11" t="inlineStr">
        <is>
          <t>2034E</t>
        </is>
      </c>
      <c r="N30" s="11" t="inlineStr">
        <is>
          <t>2035E</t>
        </is>
      </c>
      <c r="O30" s="11" t="inlineStr">
        <is>
          <t>Terminal</t>
        </is>
      </c>
    </row>
    <row r="31">
      <c r="B31" t="inlineStr">
        <is>
          <t>Revenue growth</t>
        </is>
      </c>
      <c r="E31" s="26" t="n">
        <v>0.06</v>
      </c>
      <c r="F31" s="26" t="n">
        <v>0.05</v>
      </c>
      <c r="G31" s="26" t="n">
        <v>0.045</v>
      </c>
      <c r="H31" s="26" t="n">
        <v>0.04</v>
      </c>
      <c r="I31" s="26" t="n">
        <v>0.04</v>
      </c>
      <c r="J31" s="26" t="n">
        <v>0.035</v>
      </c>
      <c r="K31" s="26" t="n">
        <v>0.03</v>
      </c>
      <c r="L31" s="26" t="n">
        <v>0.03</v>
      </c>
      <c r="M31" s="26" t="n">
        <v>0.03</v>
      </c>
      <c r="N31" s="26" t="n">
        <v>0.03</v>
      </c>
      <c r="O31" s="28">
        <f>C23</f>
        <v/>
      </c>
      <c r="P31" t="inlineStr">
        <is>
          <t>Revenue growth of about 6% fading to 3%: steady volumes plus sugar-price effects.</t>
        </is>
      </c>
    </row>
    <row r="32">
      <c r="B32" s="1" t="inlineStr">
        <is>
          <t>Revenue</t>
        </is>
      </c>
      <c r="D32" s="30">
        <f>C9</f>
        <v/>
      </c>
      <c r="E32" s="30">
        <f>D32*(1+E31)</f>
        <v/>
      </c>
      <c r="F32" s="30">
        <f>E32*(1+F31)</f>
        <v/>
      </c>
      <c r="G32" s="30">
        <f>F32*(1+G31)</f>
        <v/>
      </c>
      <c r="H32" s="30">
        <f>G32*(1+H31)</f>
        <v/>
      </c>
      <c r="I32" s="30">
        <f>H32*(1+I31)</f>
        <v/>
      </c>
      <c r="J32" s="30">
        <f>I32*(1+J31)</f>
        <v/>
      </c>
      <c r="K32" s="30">
        <f>J32*(1+K31)</f>
        <v/>
      </c>
      <c r="L32" s="30">
        <f>K32*(1+L31)</f>
        <v/>
      </c>
      <c r="M32" s="30">
        <f>L32*(1+M31)</f>
        <v/>
      </c>
      <c r="N32" s="30">
        <f>M32*(1+N31)</f>
        <v/>
      </c>
      <c r="O32" s="30">
        <f>N32*(1+O31)</f>
        <v/>
      </c>
    </row>
    <row r="33">
      <c r="B33" t="inlineStr">
        <is>
          <t>Operating margin</t>
        </is>
      </c>
      <c r="D33" s="28" t="n">
        <v>0.11</v>
      </c>
      <c r="E33" s="26" t="n">
        <v>0.11</v>
      </c>
      <c r="F33" s="26" t="n">
        <v>0.112</v>
      </c>
      <c r="G33" s="26" t="n">
        <v>0.114</v>
      </c>
      <c r="H33" s="26" t="n">
        <v>0.115</v>
      </c>
      <c r="I33" s="26" t="n">
        <v>0.116</v>
      </c>
      <c r="J33" s="26" t="n">
        <v>0.117</v>
      </c>
      <c r="K33" s="26" t="n">
        <v>0.118</v>
      </c>
      <c r="L33" s="26" t="n">
        <v>0.118</v>
      </c>
      <c r="M33" s="26" t="n">
        <v>0.118</v>
      </c>
      <c r="N33" s="26" t="n">
        <v>0.118</v>
      </c>
      <c r="O33" s="28">
        <f>C25</f>
        <v/>
      </c>
      <c r="P33" t="inlineStr">
        <is>
          <t>Operating margin of about 11% nudging to 11.8%: the FY2025 operating margin was around 11%.</t>
        </is>
      </c>
    </row>
    <row r="34">
      <c r="B34" t="inlineStr">
        <is>
          <t>EBIT</t>
        </is>
      </c>
      <c r="E34" s="30">
        <f>E32*E33</f>
        <v/>
      </c>
      <c r="F34" s="30">
        <f>F32*F33</f>
        <v/>
      </c>
      <c r="G34" s="30">
        <f>G32*G33</f>
        <v/>
      </c>
      <c r="H34" s="30">
        <f>H32*H33</f>
        <v/>
      </c>
      <c r="I34" s="30">
        <f>I32*I33</f>
        <v/>
      </c>
      <c r="J34" s="30">
        <f>J32*J33</f>
        <v/>
      </c>
      <c r="K34" s="30">
        <f>K32*K33</f>
        <v/>
      </c>
      <c r="L34" s="30">
        <f>L32*L33</f>
        <v/>
      </c>
      <c r="M34" s="30">
        <f>M32*M33</f>
        <v/>
      </c>
      <c r="N34" s="30">
        <f>N32*N33</f>
        <v/>
      </c>
      <c r="O34" s="30">
        <f>O32*O33</f>
        <v/>
      </c>
    </row>
    <row r="35">
      <c r="B35" t="inlineStr">
        <is>
          <t>NOPAT</t>
        </is>
      </c>
      <c r="E35" s="30">
        <f>E34*(1-$C$21)</f>
        <v/>
      </c>
      <c r="F35" s="30">
        <f>F34*(1-$C$21)</f>
        <v/>
      </c>
      <c r="G35" s="30">
        <f>G34*(1-$C$21)</f>
        <v/>
      </c>
      <c r="H35" s="30">
        <f>H34*(1-$C$21)</f>
        <v/>
      </c>
      <c r="I35" s="30">
        <f>I34*(1-$C$21)</f>
        <v/>
      </c>
      <c r="J35" s="30">
        <f>J34*(1-$C$21)</f>
        <v/>
      </c>
      <c r="K35" s="30">
        <f>K34*(1-$C$21)</f>
        <v/>
      </c>
      <c r="L35" s="30">
        <f>L34*(1-$C$21)</f>
        <v/>
      </c>
      <c r="M35" s="30">
        <f>M34*(1-$C$21)</f>
        <v/>
      </c>
      <c r="N35" s="30">
        <f>N34*(1-$C$21)</f>
        <v/>
      </c>
      <c r="O35" s="30">
        <f>O34*(1-C26)</f>
        <v/>
      </c>
    </row>
    <row r="36">
      <c r="B36" t="inlineStr">
        <is>
          <t>Less: reinvestment (Δrevenue ÷ sales-to-capital)</t>
        </is>
      </c>
      <c r="E36" s="30">
        <f>-MAX(0,E32-D32)/$C$22</f>
        <v/>
      </c>
      <c r="F36" s="30">
        <f>-MAX(0,F32-E32)/$C$22</f>
        <v/>
      </c>
      <c r="G36" s="30">
        <f>-MAX(0,G32-F32)/$C$22</f>
        <v/>
      </c>
      <c r="H36" s="30">
        <f>-MAX(0,H32-G32)/$C$22</f>
        <v/>
      </c>
      <c r="I36" s="30">
        <f>-MAX(0,I32-H32)/$C$22</f>
        <v/>
      </c>
      <c r="J36" s="30">
        <f>-MAX(0,J32-I32)/$C$22</f>
        <v/>
      </c>
      <c r="K36" s="30">
        <f>-MAX(0,K32-J32)/$C$22</f>
        <v/>
      </c>
      <c r="L36" s="30">
        <f>-MAX(0,L32-K32)/$C$22</f>
        <v/>
      </c>
      <c r="M36" s="30">
        <f>-MAX(0,M32-L32)/$C$22</f>
        <v/>
      </c>
      <c r="N36" s="30">
        <f>-MAX(0,N32-M32)/$C$22</f>
        <v/>
      </c>
      <c r="O36" s="30">
        <f>-O35*C23/C24</f>
        <v/>
      </c>
      <c r="P36" t="inlineStr">
        <is>
          <t>No reinvestment credit in a down year (MAX 0). Terminal: NOPAT × growth ÷ ROIC</t>
        </is>
      </c>
    </row>
    <row r="37">
      <c r="B37" s="1" t="inlineStr">
        <is>
          <t>Free cash flow to firm</t>
        </is>
      </c>
      <c r="E37" s="31">
        <f>E35+E36</f>
        <v/>
      </c>
      <c r="F37" s="31">
        <f>F35+F36</f>
        <v/>
      </c>
      <c r="G37" s="31">
        <f>G35+G36</f>
        <v/>
      </c>
      <c r="H37" s="31">
        <f>H35+H36</f>
        <v/>
      </c>
      <c r="I37" s="31">
        <f>I35+I36</f>
        <v/>
      </c>
      <c r="J37" s="31">
        <f>J35+J36</f>
        <v/>
      </c>
      <c r="K37" s="31">
        <f>K35+K36</f>
        <v/>
      </c>
      <c r="L37" s="31">
        <f>L35+L36</f>
        <v/>
      </c>
      <c r="M37" s="31">
        <f>M35+M36</f>
        <v/>
      </c>
      <c r="N37" s="31">
        <f>N35+N36</f>
        <v/>
      </c>
      <c r="O37" s="31">
        <f>O35+O36</f>
        <v/>
      </c>
    </row>
    <row r="38">
      <c r="B38" t="inlineStr">
        <is>
          <t>Share of year counted</t>
        </is>
      </c>
      <c r="E38" s="28">
        <f>(DATE(2026,12,31)-$C$6)/365</f>
        <v/>
      </c>
      <c r="F38" s="28" t="n">
        <v>1</v>
      </c>
      <c r="G38" s="28" t="n">
        <v>1</v>
      </c>
      <c r="H38" s="28" t="n">
        <v>1</v>
      </c>
      <c r="I38" s="28" t="n">
        <v>1</v>
      </c>
      <c r="J38" s="28" t="n">
        <v>1</v>
      </c>
      <c r="K38" s="28" t="n">
        <v>1</v>
      </c>
      <c r="L38" s="28" t="n">
        <v>1</v>
      </c>
      <c r="M38" s="28" t="n">
        <v>1</v>
      </c>
      <c r="N38" s="28" t="n">
        <v>1</v>
      </c>
    </row>
    <row r="39">
      <c r="B39" t="inlineStr">
        <is>
          <t>Years to cash flow (mid-year)</t>
        </is>
      </c>
      <c r="E39" s="14">
        <f>E38/2</f>
        <v/>
      </c>
      <c r="F39" s="14">
        <f>$E$38+1-0.5</f>
        <v/>
      </c>
      <c r="G39" s="14">
        <f>$E$38+2-0.5</f>
        <v/>
      </c>
      <c r="H39" s="14">
        <f>$E$38+3-0.5</f>
        <v/>
      </c>
      <c r="I39" s="14">
        <f>$E$38+4-0.5</f>
        <v/>
      </c>
      <c r="J39" s="14">
        <f>$E$38+5-0.5</f>
        <v/>
      </c>
      <c r="K39" s="14">
        <f>$E$38+6-0.5</f>
        <v/>
      </c>
      <c r="L39" s="14">
        <f>$E$38+7-0.5</f>
        <v/>
      </c>
      <c r="M39" s="14">
        <f>$E$38+8-0.5</f>
        <v/>
      </c>
      <c r="N39" s="14">
        <f>$E$38+9-0.5</f>
        <v/>
      </c>
    </row>
    <row r="40">
      <c r="B40" t="inlineStr">
        <is>
          <t>Discount factor</t>
        </is>
      </c>
      <c r="E40" s="32">
        <f>1/(1+$C$20)^E39</f>
        <v/>
      </c>
      <c r="F40" s="32">
        <f>1/(1+$C$20)^F39</f>
        <v/>
      </c>
      <c r="G40" s="32">
        <f>1/(1+$C$20)^G39</f>
        <v/>
      </c>
      <c r="H40" s="32">
        <f>1/(1+$C$20)^H39</f>
        <v/>
      </c>
      <c r="I40" s="32">
        <f>1/(1+$C$20)^I39</f>
        <v/>
      </c>
      <c r="J40" s="32">
        <f>1/(1+$C$20)^J39</f>
        <v/>
      </c>
      <c r="K40" s="32">
        <f>1/(1+$C$20)^K39</f>
        <v/>
      </c>
      <c r="L40" s="32">
        <f>1/(1+$C$20)^L39</f>
        <v/>
      </c>
      <c r="M40" s="32">
        <f>1/(1+$C$20)^M39</f>
        <v/>
      </c>
      <c r="N40" s="32">
        <f>1/(1+$C$20)^N39</f>
        <v/>
      </c>
    </row>
    <row r="41">
      <c r="B41" s="1" t="inlineStr">
        <is>
          <t>Present value</t>
        </is>
      </c>
      <c r="E41" s="31">
        <f>E37*E38*E40</f>
        <v/>
      </c>
      <c r="F41" s="31">
        <f>F37*F38*F40</f>
        <v/>
      </c>
      <c r="G41" s="31">
        <f>G37*G38*G40</f>
        <v/>
      </c>
      <c r="H41" s="31">
        <f>H37*H38*H40</f>
        <v/>
      </c>
      <c r="I41" s="31">
        <f>I37*I38*I40</f>
        <v/>
      </c>
      <c r="J41" s="31">
        <f>J37*J38*J40</f>
        <v/>
      </c>
      <c r="K41" s="31">
        <f>K37*K38*K40</f>
        <v/>
      </c>
      <c r="L41" s="31">
        <f>L37*L38*L40</f>
        <v/>
      </c>
      <c r="M41" s="31">
        <f>M37*M38*M40</f>
        <v/>
      </c>
      <c r="N41" s="31">
        <f>N37*N38*N40</f>
        <v/>
      </c>
    </row>
    <row r="43">
      <c r="B43" s="1" t="inlineStr">
        <is>
          <t>VALUATION</t>
        </is>
      </c>
    </row>
    <row r="44">
      <c r="B44" t="inlineStr">
        <is>
          <t>PV of 2026–2035 cash flows</t>
        </is>
      </c>
      <c r="D44" s="30">
        <f>SUM(E41:N41)</f>
        <v/>
      </c>
    </row>
    <row r="45">
      <c r="B45" t="inlineStr">
        <is>
          <t>Terminal value (end of 2035)</t>
        </is>
      </c>
      <c r="D45" s="30">
        <f>O37/(C20-C23)</f>
        <v/>
      </c>
    </row>
    <row r="46">
      <c r="B46" t="inlineStr">
        <is>
          <t>PV of terminal value</t>
        </is>
      </c>
      <c r="D46" s="30">
        <f>D45/(1+C20)^(E38+9)</f>
        <v/>
      </c>
    </row>
    <row r="47">
      <c r="B47" s="1" t="inlineStr">
        <is>
          <t>Enterprise value</t>
        </is>
      </c>
      <c r="D47" s="31">
        <f>D44+D46</f>
        <v/>
      </c>
    </row>
    <row r="48">
      <c r="B48" t="inlineStr">
        <is>
          <t xml:space="preserve">  Terminal value share of EV</t>
        </is>
      </c>
      <c r="D48" s="28">
        <f>D46/D47</f>
        <v/>
      </c>
    </row>
    <row r="49">
      <c r="B49" t="inlineStr">
        <is>
          <t>Plus: net cash / (less: net debt)</t>
        </is>
      </c>
      <c r="D49" s="30">
        <f>C10</f>
        <v/>
      </c>
    </row>
    <row r="50">
      <c r="B50" s="1" t="inlineStr">
        <is>
          <t>Equity value</t>
        </is>
      </c>
      <c r="D50" s="31">
        <f>D47+D49</f>
        <v/>
      </c>
    </row>
    <row r="51">
      <c r="B51" s="1" t="inlineStr">
        <is>
          <t>Value per share (MAD)</t>
        </is>
      </c>
      <c r="D51" s="33">
        <f>D50/C8</f>
        <v>175.4466821</v>
      </c>
    </row>
    <row r="52">
      <c r="B52" t="inlineStr">
        <is>
          <t>Current price (MAD)</t>
        </is>
      </c>
      <c r="D52" s="34">
        <f>C7</f>
        <v/>
      </c>
    </row>
    <row r="53">
      <c r="B53" s="1" t="inlineStr">
        <is>
          <t>Upside / (downside)</t>
        </is>
      </c>
      <c r="D53" s="35">
        <f>D51/D52-1</f>
        <v/>
      </c>
    </row>
    <row r="54">
      <c r="B54" t="inlineStr">
        <is>
          <t>Current P/E (on FY2025 EPS)</t>
        </is>
      </c>
      <c r="D54" s="36">
        <f>C7/8.6</f>
        <v>20.34883721</v>
      </c>
      <c r="P54" t="inlineStr">
        <is>
          <t>FY2025 earnings per share of about MAD 8.60 (group net income ÷ shares); an estimate, treat as approximate.</t>
        </is>
      </c>
    </row>
    <row r="55">
      <c r="B55" t="inlineStr">
        <is>
          <t>P/E at DCF value</t>
        </is>
      </c>
      <c r="D55" s="36">
        <f>D51/8.6</f>
        <v>20.40077699</v>
      </c>
    </row>
    <row r="58">
      <c r="B58" s="1" t="inlineStr">
        <is>
          <t>SENSITIVITY: value per share (MAD)</t>
        </is>
      </c>
    </row>
    <row r="59">
      <c r="B59" t="inlineStr">
        <is>
          <t>WACC ↓ / terminal operating margin →</t>
        </is>
      </c>
      <c r="D59" s="37" t="n">
        <v>0.065</v>
      </c>
      <c r="E59" s="37" t="n">
        <v>0.09</v>
      </c>
      <c r="F59" s="37" t="n">
        <v>0.115</v>
      </c>
      <c r="G59" s="37" t="n">
        <v>0.14</v>
      </c>
      <c r="H59" s="37" t="n">
        <v>0.165</v>
      </c>
    </row>
    <row r="60">
      <c r="C60" s="37">
        <f>$C$20+(-0.03)</f>
        <v/>
      </c>
      <c r="D60" s="34">
        <f>(SUMPRODUCT($E$37:$H$37,$E$38:$H$38,1/(1+$C60)^$E$39:$H$39)+SUMPRODUCT($I$32:$N$32*($I$33:$N$33+D$59-$C$25)*(1-$C$21)+$I$36:$N$36,1/(1+$C60)^$I$39:$N$39)+$O$32*D$59*(1-$C$26)*(1-$C$23/$C$24)/($C60-$C$23)/(1+$C60)^($E$38+9)+$C$10)/$C$8</f>
        <v/>
      </c>
      <c r="E60" s="34">
        <f>(SUMPRODUCT($E$37:$H$37,$E$38:$H$38,1/(1+$C60)^$E$39:$H$39)+SUMPRODUCT($I$32:$N$32*($I$33:$N$33+E$59-$C$25)*(1-$C$21)+$I$36:$N$36,1/(1+$C60)^$I$39:$N$39)+$O$32*E$59*(1-$C$26)*(1-$C$23/$C$24)/($C60-$C$23)/(1+$C60)^($E$38+9)+$C$10)/$C$8</f>
        <v/>
      </c>
      <c r="F60" s="34">
        <f>(SUMPRODUCT($E$37:$H$37,$E$38:$H$38,1/(1+$C60)^$E$39:$H$39)+SUMPRODUCT($I$32:$N$32*($I$33:$N$33+F$59-$C$25)*(1-$C$21)+$I$36:$N$36,1/(1+$C60)^$I$39:$N$39)+$O$32*F$59*(1-$C$26)*(1-$C$23/$C$24)/($C60-$C$23)/(1+$C60)^($E$38+9)+$C$10)/$C$8</f>
        <v/>
      </c>
      <c r="G60" s="34">
        <f>(SUMPRODUCT($E$37:$H$37,$E$38:$H$38,1/(1+$C60)^$E$39:$H$39)+SUMPRODUCT($I$32:$N$32*($I$33:$N$33+G$59-$C$25)*(1-$C$21)+$I$36:$N$36,1/(1+$C60)^$I$39:$N$39)+$O$32*G$59*(1-$C$26)*(1-$C$23/$C$24)/($C60-$C$23)/(1+$C60)^($E$38+9)+$C$10)/$C$8</f>
        <v/>
      </c>
      <c r="H60" s="34">
        <f>(SUMPRODUCT($E$37:$H$37,$E$38:$H$38,1/(1+$C60)^$E$39:$H$39)+SUMPRODUCT($I$32:$N$32*($I$33:$N$33+H$59-$C$25)*(1-$C$21)+$I$36:$N$36,1/(1+$C60)^$I$39:$N$39)+$O$32*H$59*(1-$C$26)*(1-$C$23/$C$24)/($C60-$C$23)/(1+$C60)^($E$38+9)+$C$10)/$C$8</f>
        <v/>
      </c>
      <c r="P60" t="inlineStr">
        <is>
          <t>Terminal margin set to the column value, and each margin from 2030 on moved by the same amount; centre = base case</t>
        </is>
      </c>
    </row>
    <row r="61">
      <c r="C61" s="37">
        <f>$C$20+(-0.015)</f>
        <v/>
      </c>
      <c r="D61" s="34">
        <f>(SUMPRODUCT($E$37:$H$37,$E$38:$H$38,1/(1+$C61)^$E$39:$H$39)+SUMPRODUCT($I$32:$N$32*($I$33:$N$33+D$59-$C$25)*(1-$C$21)+$I$36:$N$36,1/(1+$C61)^$I$39:$N$39)+$O$32*D$59*(1-$C$26)*(1-$C$23/$C$24)/($C61-$C$23)/(1+$C61)^($E$38+9)+$C$10)/$C$8</f>
        <v/>
      </c>
      <c r="E61" s="34">
        <f>(SUMPRODUCT($E$37:$H$37,$E$38:$H$38,1/(1+$C61)^$E$39:$H$39)+SUMPRODUCT($I$32:$N$32*($I$33:$N$33+E$59-$C$25)*(1-$C$21)+$I$36:$N$36,1/(1+$C61)^$I$39:$N$39)+$O$32*E$59*(1-$C$26)*(1-$C$23/$C$24)/($C61-$C$23)/(1+$C61)^($E$38+9)+$C$10)/$C$8</f>
        <v/>
      </c>
      <c r="F61" s="34">
        <f>(SUMPRODUCT($E$37:$H$37,$E$38:$H$38,1/(1+$C61)^$E$39:$H$39)+SUMPRODUCT($I$32:$N$32*($I$33:$N$33+F$59-$C$25)*(1-$C$21)+$I$36:$N$36,1/(1+$C61)^$I$39:$N$39)+$O$32*F$59*(1-$C$26)*(1-$C$23/$C$24)/($C61-$C$23)/(1+$C61)^($E$38+9)+$C$10)/$C$8</f>
        <v/>
      </c>
      <c r="G61" s="34">
        <f>(SUMPRODUCT($E$37:$H$37,$E$38:$H$38,1/(1+$C61)^$E$39:$H$39)+SUMPRODUCT($I$32:$N$32*($I$33:$N$33+G$59-$C$25)*(1-$C$21)+$I$36:$N$36,1/(1+$C61)^$I$39:$N$39)+$O$32*G$59*(1-$C$26)*(1-$C$23/$C$24)/($C61-$C$23)/(1+$C61)^($E$38+9)+$C$10)/$C$8</f>
        <v/>
      </c>
      <c r="H61" s="34">
        <f>(SUMPRODUCT($E$37:$H$37,$E$38:$H$38,1/(1+$C61)^$E$39:$H$39)+SUMPRODUCT($I$32:$N$32*($I$33:$N$33+H$59-$C$25)*(1-$C$21)+$I$36:$N$36,1/(1+$C61)^$I$39:$N$39)+$O$32*H$59*(1-$C$26)*(1-$C$23/$C$24)/($C61-$C$23)/(1+$C61)^($E$38+9)+$C$10)/$C$8</f>
        <v/>
      </c>
    </row>
    <row r="62">
      <c r="C62" s="37">
        <f>$C$20+(0)</f>
        <v/>
      </c>
      <c r="D62" s="34">
        <f>(SUMPRODUCT($E$37:$H$37,$E$38:$H$38,1/(1+$C62)^$E$39:$H$39)+SUMPRODUCT($I$32:$N$32*($I$33:$N$33+D$59-$C$25)*(1-$C$21)+$I$36:$N$36,1/(1+$C62)^$I$39:$N$39)+$O$32*D$59*(1-$C$26)*(1-$C$23/$C$24)/($C62-$C$23)/(1+$C62)^($E$38+9)+$C$10)/$C$8</f>
        <v/>
      </c>
      <c r="E62" s="34">
        <f>(SUMPRODUCT($E$37:$H$37,$E$38:$H$38,1/(1+$C62)^$E$39:$H$39)+SUMPRODUCT($I$32:$N$32*($I$33:$N$33+E$59-$C$25)*(1-$C$21)+$I$36:$N$36,1/(1+$C62)^$I$39:$N$39)+$O$32*E$59*(1-$C$26)*(1-$C$23/$C$24)/($C62-$C$23)/(1+$C62)^($E$38+9)+$C$10)/$C$8</f>
        <v/>
      </c>
      <c r="F62" s="34">
        <f>(SUMPRODUCT($E$37:$H$37,$E$38:$H$38,1/(1+$C62)^$E$39:$H$39)+SUMPRODUCT($I$32:$N$32*($I$33:$N$33+F$59-$C$25)*(1-$C$21)+$I$36:$N$36,1/(1+$C62)^$I$39:$N$39)+$O$32*F$59*(1-$C$26)*(1-$C$23/$C$24)/($C62-$C$23)/(1+$C62)^($E$38+9)+$C$10)/$C$8</f>
        <v/>
      </c>
      <c r="G62" s="34">
        <f>(SUMPRODUCT($E$37:$H$37,$E$38:$H$38,1/(1+$C62)^$E$39:$H$39)+SUMPRODUCT($I$32:$N$32*($I$33:$N$33+G$59-$C$25)*(1-$C$21)+$I$36:$N$36,1/(1+$C62)^$I$39:$N$39)+$O$32*G$59*(1-$C$26)*(1-$C$23/$C$24)/($C62-$C$23)/(1+$C62)^($E$38+9)+$C$10)/$C$8</f>
        <v/>
      </c>
      <c r="H62" s="34">
        <f>(SUMPRODUCT($E$37:$H$37,$E$38:$H$38,1/(1+$C62)^$E$39:$H$39)+SUMPRODUCT($I$32:$N$32*($I$33:$N$33+H$59-$C$25)*(1-$C$21)+$I$36:$N$36,1/(1+$C62)^$I$39:$N$39)+$O$32*H$59*(1-$C$26)*(1-$C$23/$C$24)/($C62-$C$23)/(1+$C62)^($E$38+9)+$C$10)/$C$8</f>
        <v/>
      </c>
    </row>
    <row r="63">
      <c r="C63" s="37">
        <f>$C$20+(0.015)</f>
        <v/>
      </c>
      <c r="D63" s="34">
        <f>(SUMPRODUCT($E$37:$H$37,$E$38:$H$38,1/(1+$C63)^$E$39:$H$39)+SUMPRODUCT($I$32:$N$32*($I$33:$N$33+D$59-$C$25)*(1-$C$21)+$I$36:$N$36,1/(1+$C63)^$I$39:$N$39)+$O$32*D$59*(1-$C$26)*(1-$C$23/$C$24)/($C63-$C$23)/(1+$C63)^($E$38+9)+$C$10)/$C$8</f>
        <v/>
      </c>
      <c r="E63" s="34">
        <f>(SUMPRODUCT($E$37:$H$37,$E$38:$H$38,1/(1+$C63)^$E$39:$H$39)+SUMPRODUCT($I$32:$N$32*($I$33:$N$33+E$59-$C$25)*(1-$C$21)+$I$36:$N$36,1/(1+$C63)^$I$39:$N$39)+$O$32*E$59*(1-$C$26)*(1-$C$23/$C$24)/($C63-$C$23)/(1+$C63)^($E$38+9)+$C$10)/$C$8</f>
        <v/>
      </c>
      <c r="F63" s="34">
        <f>(SUMPRODUCT($E$37:$H$37,$E$38:$H$38,1/(1+$C63)^$E$39:$H$39)+SUMPRODUCT($I$32:$N$32*($I$33:$N$33+F$59-$C$25)*(1-$C$21)+$I$36:$N$36,1/(1+$C63)^$I$39:$N$39)+$O$32*F$59*(1-$C$26)*(1-$C$23/$C$24)/($C63-$C$23)/(1+$C63)^($E$38+9)+$C$10)/$C$8</f>
        <v/>
      </c>
      <c r="G63" s="34">
        <f>(SUMPRODUCT($E$37:$H$37,$E$38:$H$38,1/(1+$C63)^$E$39:$H$39)+SUMPRODUCT($I$32:$N$32*($I$33:$N$33+G$59-$C$25)*(1-$C$21)+$I$36:$N$36,1/(1+$C63)^$I$39:$N$39)+$O$32*G$59*(1-$C$26)*(1-$C$23/$C$24)/($C63-$C$23)/(1+$C63)^($E$38+9)+$C$10)/$C$8</f>
        <v/>
      </c>
      <c r="H63" s="34">
        <f>(SUMPRODUCT($E$37:$H$37,$E$38:$H$38,1/(1+$C63)^$E$39:$H$39)+SUMPRODUCT($I$32:$N$32*($I$33:$N$33+H$59-$C$25)*(1-$C$21)+$I$36:$N$36,1/(1+$C63)^$I$39:$N$39)+$O$32*H$59*(1-$C$26)*(1-$C$23/$C$24)/($C63-$C$23)/(1+$C63)^($E$38+9)+$C$10)/$C$8</f>
        <v/>
      </c>
    </row>
    <row r="64">
      <c r="C64" s="37">
        <f>$C$20+(0.03)</f>
        <v/>
      </c>
      <c r="D64" s="34">
        <f>(SUMPRODUCT($E$37:$H$37,$E$38:$H$38,1/(1+$C64)^$E$39:$H$39)+SUMPRODUCT($I$32:$N$32*($I$33:$N$33+D$59-$C$25)*(1-$C$21)+$I$36:$N$36,1/(1+$C64)^$I$39:$N$39)+$O$32*D$59*(1-$C$26)*(1-$C$23/$C$24)/($C64-$C$23)/(1+$C64)^($E$38+9)+$C$10)/$C$8</f>
        <v/>
      </c>
      <c r="E64" s="34">
        <f>(SUMPRODUCT($E$37:$H$37,$E$38:$H$38,1/(1+$C64)^$E$39:$H$39)+SUMPRODUCT($I$32:$N$32*($I$33:$N$33+E$59-$C$25)*(1-$C$21)+$I$36:$N$36,1/(1+$C64)^$I$39:$N$39)+$O$32*E$59*(1-$C$26)*(1-$C$23/$C$24)/($C64-$C$23)/(1+$C64)^($E$38+9)+$C$10)/$C$8</f>
        <v/>
      </c>
      <c r="F64" s="34">
        <f>(SUMPRODUCT($E$37:$H$37,$E$38:$H$38,1/(1+$C64)^$E$39:$H$39)+SUMPRODUCT($I$32:$N$32*($I$33:$N$33+F$59-$C$25)*(1-$C$21)+$I$36:$N$36,1/(1+$C64)^$I$39:$N$39)+$O$32*F$59*(1-$C$26)*(1-$C$23/$C$24)/($C64-$C$23)/(1+$C64)^($E$38+9)+$C$10)/$C$8</f>
        <v/>
      </c>
      <c r="G64" s="34">
        <f>(SUMPRODUCT($E$37:$H$37,$E$38:$H$38,1/(1+$C64)^$E$39:$H$39)+SUMPRODUCT($I$32:$N$32*($I$33:$N$33+G$59-$C$25)*(1-$C$21)+$I$36:$N$36,1/(1+$C64)^$I$39:$N$39)+$O$32*G$59*(1-$C$26)*(1-$C$23/$C$24)/($C64-$C$23)/(1+$C64)^($E$38+9)+$C$10)/$C$8</f>
        <v/>
      </c>
      <c r="H64" s="34">
        <f>(SUMPRODUCT($E$37:$H$37,$E$38:$H$38,1/(1+$C64)^$E$39:$H$39)+SUMPRODUCT($I$32:$N$32*($I$33:$N$33+H$59-$C$25)*(1-$C$21)+$I$36:$N$36,1/(1+$C64)^$I$39:$N$39)+$O$32*H$59*(1-$C$26)*(1-$C$23/$C$24)/($C64-$C$23)/(1+$C64)^($E$38+9)+$C$10)/$C$8</f>
        <v/>
      </c>
    </row>
    <row r="66">
      <c r="B66" s="1" t="inlineStr">
        <is>
          <t>Notes</t>
        </is>
      </c>
    </row>
    <row r="67">
      <c r="B67" t="inlineStr">
        <is>
          <t>Base case: MAD 175.45 a share against a price of MAD 175.00 (+0.3%). WACC 8.3%; terminal value is 62% of enterprise value.</t>
        </is>
      </c>
    </row>
    <row r="68">
      <c r="B68" t="inlineStr">
        <is>
          <t>Cosumar is Morocco's sugar refiner, a steady, regulated business. Revenue tracks volumes and the administered sugar price.</t>
        </is>
      </c>
    </row>
    <row r="69">
      <c r="B69" t="inlineStr">
        <is>
          <t>The price needs a long-run margin around 11.5% to make sense; the base case uses 11.5%.</t>
        </is>
      </c>
    </row>
    <row r="70">
      <c r="B70" t="inlineStr">
        <is>
          <t>Estimated net cash of about MAD 1.2bn.</t>
        </is>
      </c>
    </row>
    <row r="71">
      <c r="B71" t="inlineStr">
        <is>
          <t>Sources: Cosumar FY2025 results and the Casablanca Stock Exchange; price as of October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2026-10-06T20:35:55Z</dcterms:created>
  <dcterms:modified xmlns:dcterms="http://purl.org/dc/terms/" xmlns:xsi="http://www.w3.org/2001/XMLSchema-instance" xsi:type="dcterms:W3CDTF">2026-10-16T18:30:56Z</dcterms:modified>
  <cp:lastModifiedBy>Zi Cong Tan</cp:lastModifiedBy>
</cp:coreProperties>
</file>