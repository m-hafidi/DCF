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xr:revisionPtr revIDLastSave="0" documentId="13_ncr:1_{FA0349B4-D905-4046-9356-493B56726905}" xr6:coauthVersionLast="47" xr6:coauthVersionMax="47" xr10:uidLastSave="{00000000-0000-0000-0000-000000000000}"/>
  <bookViews>
    <workbookView xWindow="0" yWindow="600" windowWidth="34200" windowHeight="19220" xr2:uid="{00000000-000D-0000-FFFF-FFFF00000000}"/>
  </bookViews>
  <sheets>
    <sheet name="DC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" i="1" l="1"/>
  <c r="D52" i="1"/>
  <c r="E38" i="1"/>
  <c r="F39" i="1" s="1"/>
  <c r="O33" i="1"/>
  <c r="D33" i="1"/>
  <c r="O31" i="1"/>
  <c r="C19" i="1"/>
  <c r="C16" i="1"/>
  <c r="C20" i="1" s="1"/>
  <c r="C10" i="1"/>
  <c r="D49" i="1" s="1"/>
  <c r="C9" i="1"/>
  <c r="D32" i="1" s="1"/>
  <c r="E32" i="1" s="1"/>
  <c r="G39" i="1" l="1"/>
  <c r="I39" i="1"/>
  <c r="J39" i="1"/>
  <c r="E36" i="1"/>
  <c r="E34" i="1"/>
  <c r="E35" i="1" s="1"/>
  <c r="E37" i="1" s="1"/>
  <c r="F32" i="1"/>
  <c r="F40" i="1"/>
  <c r="C63" i="1"/>
  <c r="E40" i="1"/>
  <c r="C61" i="1"/>
  <c r="C64" i="1"/>
  <c r="J40" i="1"/>
  <c r="C62" i="1"/>
  <c r="I40" i="1"/>
  <c r="C60" i="1"/>
  <c r="G40" i="1"/>
  <c r="H39" i="1"/>
  <c r="H40" i="1" s="1"/>
  <c r="N39" i="1"/>
  <c r="N40" i="1" s="1"/>
  <c r="K39" i="1"/>
  <c r="K40" i="1" s="1"/>
  <c r="L39" i="1"/>
  <c r="L40" i="1" s="1"/>
  <c r="M39" i="1"/>
  <c r="M40" i="1" s="1"/>
  <c r="E39" i="1"/>
  <c r="F36" i="1" l="1"/>
  <c r="F34" i="1"/>
  <c r="F35" i="1" s="1"/>
  <c r="F37" i="1" s="1"/>
  <c r="F41" i="1" s="1"/>
  <c r="G32" i="1"/>
  <c r="E41" i="1"/>
  <c r="G36" i="1" l="1"/>
  <c r="G34" i="1"/>
  <c r="G35" i="1" s="1"/>
  <c r="G37" i="1" s="1"/>
  <c r="G41" i="1" s="1"/>
  <c r="H32" i="1"/>
  <c r="H36" i="1" l="1"/>
  <c r="H34" i="1"/>
  <c r="H35" i="1" s="1"/>
  <c r="H37" i="1" s="1"/>
  <c r="H41" i="1" s="1"/>
  <c r="I32" i="1"/>
  <c r="I36" i="1" l="1"/>
  <c r="I34" i="1"/>
  <c r="I35" i="1" s="1"/>
  <c r="I37" i="1" s="1"/>
  <c r="I41" i="1" s="1"/>
  <c r="J32" i="1"/>
  <c r="J34" i="1" l="1"/>
  <c r="J35" i="1" s="1"/>
  <c r="K32" i="1"/>
  <c r="J36" i="1"/>
  <c r="K34" i="1" l="1"/>
  <c r="K35" i="1" s="1"/>
  <c r="L32" i="1"/>
  <c r="K36" i="1"/>
  <c r="J37" i="1"/>
  <c r="J41" i="1" s="1"/>
  <c r="M32" i="1" l="1"/>
  <c r="L34" i="1"/>
  <c r="L35" i="1" s="1"/>
  <c r="L36" i="1"/>
  <c r="K37" i="1"/>
  <c r="K41" i="1" s="1"/>
  <c r="L37" i="1" l="1"/>
  <c r="L41" i="1" s="1"/>
  <c r="N32" i="1"/>
  <c r="M36" i="1"/>
  <c r="M34" i="1"/>
  <c r="M35" i="1" s="1"/>
  <c r="M37" i="1" s="1"/>
  <c r="M41" i="1" s="1"/>
  <c r="N36" i="1" l="1"/>
  <c r="N34" i="1"/>
  <c r="N35" i="1" s="1"/>
  <c r="N37" i="1" s="1"/>
  <c r="N41" i="1" s="1"/>
  <c r="D44" i="1" s="1"/>
  <c r="O32" i="1"/>
  <c r="O34" i="1" l="1"/>
  <c r="O35" i="1" s="1"/>
  <c r="D60" i="1"/>
  <c r="H63" i="1"/>
  <c r="G63" i="1"/>
  <c r="H60" i="1"/>
  <c r="F61" i="1"/>
  <c r="G64" i="1"/>
  <c r="E61" i="1"/>
  <c r="E63" i="1"/>
  <c r="D62" i="1"/>
  <c r="F60" i="1"/>
  <c r="G62" i="1"/>
  <c r="E60" i="1"/>
  <c r="F62" i="1"/>
  <c r="H64" i="1"/>
  <c r="G61" i="1"/>
  <c r="D64" i="1"/>
  <c r="F64" i="1"/>
  <c r="H62" i="1"/>
  <c r="D61" i="1"/>
  <c r="E62" i="1"/>
  <c r="D63" i="1"/>
  <c r="F63" i="1"/>
  <c r="E64" i="1"/>
  <c r="H61" i="1"/>
  <c r="G60" i="1"/>
  <c r="O36" i="1" l="1"/>
  <c r="O37" i="1" s="1"/>
  <c r="D45" i="1" s="1"/>
  <c r="D46" i="1" s="1"/>
  <c r="D47" i="1" l="1"/>
  <c r="D50" i="1" s="1"/>
  <c r="D51" i="1" s="1"/>
  <c r="D55" i="1" l="1"/>
  <c r="D53" i="1"/>
  <c r="D48" i="1"/>
</calcChain>
</file>

<file path=xl/sharedStrings.xml><?xml version="1.0" encoding="utf-8"?>
<sst xmlns="http://schemas.openxmlformats.org/spreadsheetml/2006/main" count="95" uniqueCount="95">
  <si>
    <t>Micron Technology, Inc. (MU) · Independent 10-year DCF</t>
  </si>
  <si>
    <t>USD millions unless stated · valuation date 14 Oct 2026 · blue = input, black = formula, yellow = key judgment</t>
  </si>
  <si>
    <t>INPUTS</t>
  </si>
  <si>
    <t>Valuation date</t>
  </si>
  <si>
    <t>Today</t>
  </si>
  <si>
    <t>Share price ($)</t>
  </si>
  <si>
    <t>Yahoo Finance MU, close 14 Oct 2026</t>
  </si>
  <si>
    <t>Shares outstanding (millions)</t>
  </si>
  <si>
    <t>Shares outstanding at 2 Oct 2026, cover of the FY2026 Form 10-K (1,131,423,212)</t>
  </si>
  <si>
    <t>Calendar 2025 revenue</t>
  </si>
  <si>
    <t>Calendar 2025 = the four quarters ending Feb, May, Aug and Nov 2025 ($8,053m + $9,301m + $11,315m + $13,643m), from Micron's 10-Q and 10-K filings. Micron's fiscal year ends in early September, so calendar years keep the template's 2026 part-year right</t>
  </si>
  <si>
    <t>Net cash / (net debt)</t>
  </si>
  <si>
    <t>3 Sep 2026, FY2026 Form 10-K: cash 38,364 + short-term investments 5,070 + long-term marketable investments 30,019 − debt and finance leases 5,179</t>
  </si>
  <si>
    <t>Total debt</t>
  </si>
  <si>
    <t>Debt and finance leases, FY2026 Form 10-K. Used only to weight debt in the cost of capital</t>
  </si>
  <si>
    <t>Risk-free rate (US 10-yr)</t>
  </si>
  <si>
    <t>^TNX 5.19%, close 14 Oct 2026 (Yahoo Finance)</t>
  </si>
  <si>
    <t>Beta</t>
  </si>
  <si>
    <t>Judgment. 5-year monthly regression against the MASI gives 2.35, pushed up by the 2026 memory surge. 1.6 is closer to other chip makers</t>
  </si>
  <si>
    <t>Equity risk premium</t>
  </si>
  <si>
    <t>Judgment: mid-range, same as the other models</t>
  </si>
  <si>
    <t>Country risk premium</t>
  </si>
  <si>
    <t>None: US company</t>
  </si>
  <si>
    <t>Cost of equity</t>
  </si>
  <si>
    <t>Risk-free rate + beta × equity risk premium + country premium</t>
  </si>
  <si>
    <t>Cost of debt (before tax)</t>
  </si>
  <si>
    <t>Judgment: risk-free rate plus 1% (investment-grade, almost no net debt)</t>
  </si>
  <si>
    <t>Tax saving on interest</t>
  </si>
  <si>
    <t>US federal corporate tax rate</t>
  </si>
  <si>
    <t>Debt share of capital</t>
  </si>
  <si>
    <t>Total debt ÷ (total debt + market value of the shares)</t>
  </si>
  <si>
    <t>WACC</t>
  </si>
  <si>
    <t>Weighted average cost of capital: the discount rate</t>
  </si>
  <si>
    <t>Tax rate (forecast)</t>
  </si>
  <si>
    <t>Judgment. FY2026 effective rate 14.8% ($14,761m ÷ $99,671m pre-tax). Lower than 21% thanks to tax incentives on fabs in Singapore and elsewhere</t>
  </si>
  <si>
    <t>Net investment (% of revenue)</t>
  </si>
  <si>
    <t>Judgment. Capital spending above depreciation: FY2026 $30.7bn − $9.5bn = 16% of revenue; FY2025 20%. Memory makers must keep building fabs, so this stays positive even in a downturn</t>
  </si>
  <si>
    <t>Terminal growth</t>
  </si>
  <si>
    <t>Judgment: memory demand grows with data, but prices swing; 2.5% is below the long-run US nominal growth rate</t>
  </si>
  <si>
    <t>Terminal ROIC</t>
  </si>
  <si>
    <t>Judgment: a little above the cost of capital. Memory is a commodity over a full cycle</t>
  </si>
  <si>
    <t>Terminal operating margin</t>
  </si>
  <si>
    <t>Judgment: mid-cycle. Calendar 2025 32.5%, 1H calendar 2026 76%. Past peaks (2018: 49%) did not last; AI memory (HBM) may keep margins higher than before</t>
  </si>
  <si>
    <t>Terminal tax rate</t>
  </si>
  <si>
    <t>Long-run rate</t>
  </si>
  <si>
    <t>PROJECTION</t>
  </si>
  <si>
    <t>2025A</t>
  </si>
  <si>
    <t>2026E</t>
  </si>
  <si>
    <t>2027E</t>
  </si>
  <si>
    <t>2028E</t>
  </si>
  <si>
    <t>2029E</t>
  </si>
  <si>
    <t>2030E</t>
  </si>
  <si>
    <t>2031E</t>
  </si>
  <si>
    <t>2032E</t>
  </si>
  <si>
    <t>2033E</t>
  </si>
  <si>
    <t>2034E</t>
  </si>
  <si>
    <t>2035E</t>
  </si>
  <si>
    <t>Terminal</t>
  </si>
  <si>
    <t>Revenue growth</t>
  </si>
  <si>
    <t>2026E +328% and 2027E +62% = analyst averages on Yahoo Finance (34 to 41 analysts), turned into calendar years: actual quarters to Sep 2026 + the Nov 2026 quarter estimate ($61.7bn). After that I assume the cycle turns: flat, then −25% and −10%, then 2% to 5% a year</t>
  </si>
  <si>
    <t>Revenue</t>
  </si>
  <si>
    <t>Operating margin</t>
  </si>
  <si>
    <t>Calendar 2025 actual 32.5% ($13,732m operating income). Quarters to May and Sep 2026 were 80%. I assume the boom fades to a 35% mid-cycle margin by 2030</t>
  </si>
  <si>
    <t>EBIT</t>
  </si>
  <si>
    <t>NOPAT</t>
  </si>
  <si>
    <t>Less: net investment (revenue × rate)</t>
  </si>
  <si>
    <t>Capital spending above depreciation, as a share of revenue. Terminal: NOPAT × growth ÷ ROIC</t>
  </si>
  <si>
    <t>Free cash flow to firm</t>
  </si>
  <si>
    <t>Share of year counted</t>
  </si>
  <si>
    <t>Years to cash flow (mid-year)</t>
  </si>
  <si>
    <t>Discount factor</t>
  </si>
  <si>
    <t>Present value</t>
  </si>
  <si>
    <t>VALUATION</t>
  </si>
  <si>
    <t>PV of 2026–2035 cash flows</t>
  </si>
  <si>
    <t>Terminal value (end of 2035)</t>
  </si>
  <si>
    <t>PV of terminal value</t>
  </si>
  <si>
    <t>Enterprise value</t>
  </si>
  <si>
    <t xml:space="preserve">  Terminal value share of EV</t>
  </si>
  <si>
    <t>Plus: net cash / (less: net debt)</t>
  </si>
  <si>
    <t>Equity value</t>
  </si>
  <si>
    <t>Value per share ($)</t>
  </si>
  <si>
    <t>Current price ($)</t>
  </si>
  <si>
    <t>Upside / (downside)</t>
  </si>
  <si>
    <t>Current P/E (last 4 quarters)</t>
  </si>
  <si>
    <t>Diluted EPS FY2026 (to 3 Sep 2026) $74.33, Form 10-K. On the FY2027 analyst average ($176) the P/E is about 5x</t>
  </si>
  <si>
    <t>P/E at DCF value</t>
  </si>
  <si>
    <t>SENSITIVITY: value per share ($)</t>
  </si>
  <si>
    <t>WACC ↓ / terminal operating margin →</t>
  </si>
  <si>
    <t>Terminal margin set to the column value, and each margin from 2030 on moved by the same amount; centre = base case</t>
  </si>
  <si>
    <t>Notes</t>
  </si>
  <si>
    <t>Base case: $642.59 a share against a price of $914.13 (-30%). WACC 12.4%; terminal value is 33% of enterprise value.</t>
  </si>
  <si>
    <t>Read this as a full-cycle value. Memory prices are in a historic boom: operating margin went from 22% in early 2025 to 80% in mid-2026, driven by AI servers. Almost all of the answer depends on how long that lasts and where margins settle.</t>
  </si>
  <si>
    <t>The price needs a long-run margin around 61% to make sense, against 25% to 35% in past cycles. That is the bet: AI memory (HBM) changing the cycle for good.</t>
  </si>
  <si>
    <t>Net cash of $68bn after paying down most debt in FY2026.</t>
  </si>
  <si>
    <t>Sources: Micron FY2026 Form 10-K (filed 9 Oct 2026) and 10-Q filings via SEC EDGAR; analyst estimates and price from Yahoo Finance, 14 Oct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</si>
</sst>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\-dd"/>
    <numFmt numFmtId="165" formatCode="&quot;$&quot;#,##0.00"/>
    <numFmt numFmtId="166" formatCode="#,##0.0"/>
    <numFmt numFmtId="167" formatCode="#,##0;\(#,##0\);&quot;-&quot;"/>
    <numFmt numFmtId="168" formatCode="0.0%;\(0.0%\);&quot;-&quot;"/>
    <numFmt numFmtId="169" formatCode="0.000"/>
    <numFmt numFmtId="170" formatCode="0.0&quot;x&quot;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FF"/>
      <name val="Calibri"/>
      <family val="2"/>
    </font>
    <font>
      <b/>
      <sz val="11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7" fontId="0" fillId="0" borderId="0" xfId="0" applyNumberFormat="1"/>
    <xf numFmtId="168" fontId="2" fillId="0" borderId="0" xfId="0" applyNumberFormat="1" applyFont="1"/>
    <xf numFmtId="2" fontId="2" fillId="2" borderId="0" xfId="0" applyNumberFormat="1" applyFont="1" applyFill="1"/>
    <xf numFmtId="168" fontId="2" fillId="2" borderId="0" xfId="0" applyNumberFormat="1" applyFont="1" applyFill="1"/>
    <xf numFmtId="168" fontId="3" fillId="0" borderId="0" xfId="0" applyNumberFormat="1" applyFont="1"/>
    <xf numFmtId="168" fontId="0" fillId="0" borderId="0" xfId="0" applyNumberFormat="1"/>
    <xf numFmtId="168" fontId="1" fillId="0" borderId="0" xfId="0" applyNumberFormat="1" applyFont="1"/>
    <xf numFmtId="0" fontId="1" fillId="3" borderId="0" xfId="0" applyFont="1" applyFill="1" applyAlignment="1">
      <alignment horizontal="right"/>
    </xf>
    <xf numFmtId="167" fontId="1" fillId="0" borderId="0" xfId="0" applyNumberFormat="1" applyFont="1"/>
    <xf numFmtId="2" fontId="0" fillId="0" borderId="0" xfId="0" applyNumberFormat="1"/>
    <xf numFmtId="169" fontId="0" fillId="0" borderId="0" xfId="0" applyNumberFormat="1"/>
    <xf numFmtId="165" fontId="1" fillId="2" borderId="0" xfId="0" applyNumberFormat="1" applyFont="1" applyFill="1"/>
    <xf numFmtId="165" fontId="0" fillId="0" borderId="0" xfId="0" applyNumberFormat="1"/>
    <xf numFmtId="168" fontId="1" fillId="2" borderId="0" xfId="0" applyNumberFormat="1" applyFont="1" applyFill="1"/>
    <xf numFmtId="170" fontId="0" fillId="0" borderId="0" xfId="0" applyNumberFormat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71"/>
  <sheetViews>
    <sheetView tabSelected="1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4" customWidth="1"/>
    <col min="3" max="3" width="13" customWidth="1"/>
    <col min="4" max="15" width="11" customWidth="1"/>
    <col min="16" max="16" width="120" customWidth="1"/>
  </cols>
  <sheetData>
    <row r="2" spans="2:16" x14ac:dyDescent="0.2">
      <c r="B2" s="1" t="s">
        <v>0</v>
      </c>
    </row>
    <row r="3" spans="2:16" x14ac:dyDescent="0.2">
      <c r="B3" t="s">
        <v>1</v>
      </c>
    </row>
    <row r="5" spans="2:16" x14ac:dyDescent="0.2">
      <c r="B5" s="1" t="s">
        <v>2</v>
      </c>
    </row>
    <row r="6" spans="2:16" x14ac:dyDescent="0.2">
      <c r="B6" t="s">
        <v>3</v>
      </c>
      <c r="C6" s="2">
        <v>46309</v>
      </c>
      <c r="P6" t="s">
        <v>4</v>
      </c>
    </row>
    <row r="7" spans="2:16" x14ac:dyDescent="0.2">
      <c r="B7" t="s">
        <v>5</v>
      </c>
      <c r="C7" s="3">
        <v>914.13</v>
      </c>
      <c r="P7" t="s">
        <v>6</v>
      </c>
    </row>
    <row r="8" spans="2:16" x14ac:dyDescent="0.2">
      <c r="B8" t="s">
        <v>7</v>
      </c>
      <c r="C8" s="4">
        <v>1131.4000000000001</v>
      </c>
      <c r="P8" t="s">
        <v>8</v>
      </c>
    </row>
    <row r="9" spans="2:16" x14ac:dyDescent="0.2">
      <c r="B9" t="s">
        <v>9</v>
      </c>
      <c r="C9" s="5">
        <f>8053+9301+11315+13643</f>
        <v>42312</v>
      </c>
      <c r="P9" t="s">
        <v>10</v>
      </c>
    </row>
    <row r="10" spans="2:16" x14ac:dyDescent="0.2">
      <c r="B10" t="s">
        <v>11</v>
      </c>
      <c r="C10" s="6">
        <f>38364+5070+30019-5179</f>
        <v>68274</v>
      </c>
      <c r="P10" t="s">
        <v>12</v>
      </c>
    </row>
    <row r="11" spans="2:16" x14ac:dyDescent="0.2">
      <c r="B11" t="s">
        <v>13</v>
      </c>
      <c r="C11" s="5">
        <v>5179</v>
      </c>
      <c r="P11" t="s">
        <v>14</v>
      </c>
    </row>
    <row r="12" spans="2:16" x14ac:dyDescent="0.2">
      <c r="B12" t="s">
        <v>15</v>
      </c>
      <c r="C12" s="7">
        <v>5.1900000000000002E-2</v>
      </c>
      <c r="P12" t="s">
        <v>16</v>
      </c>
    </row>
    <row r="13" spans="2:16" x14ac:dyDescent="0.2">
      <c r="B13" t="s">
        <v>17</v>
      </c>
      <c r="C13" s="8">
        <v>1.6</v>
      </c>
      <c r="P13" t="s">
        <v>18</v>
      </c>
    </row>
    <row r="14" spans="2:16" x14ac:dyDescent="0.2">
      <c r="B14" t="s">
        <v>19</v>
      </c>
      <c r="C14" s="9">
        <v>4.4999999999999998E-2</v>
      </c>
      <c r="P14" t="s">
        <v>20</v>
      </c>
    </row>
    <row r="15" spans="2:16" x14ac:dyDescent="0.2">
      <c r="B15" t="s">
        <v>21</v>
      </c>
      <c r="C15" s="7">
        <v>0</v>
      </c>
      <c r="P15" t="s">
        <v>22</v>
      </c>
    </row>
    <row r="16" spans="2:16" x14ac:dyDescent="0.2">
      <c r="B16" t="s">
        <v>23</v>
      </c>
      <c r="C16" s="10">
        <f>C12+C13*C14+C15</f>
        <v>0.1239</v>
      </c>
      <c r="P16" t="s">
        <v>24</v>
      </c>
    </row>
    <row r="17" spans="2:16" x14ac:dyDescent="0.2">
      <c r="B17" t="s">
        <v>25</v>
      </c>
      <c r="C17" s="7">
        <v>6.2E-2</v>
      </c>
      <c r="P17" t="s">
        <v>26</v>
      </c>
    </row>
    <row r="18" spans="2:16" x14ac:dyDescent="0.2">
      <c r="B18" t="s">
        <v>27</v>
      </c>
      <c r="C18" s="7">
        <v>0.21</v>
      </c>
      <c r="P18" t="s">
        <v>28</v>
      </c>
    </row>
    <row r="19" spans="2:16" x14ac:dyDescent="0.2">
      <c r="B19" t="s">
        <v>29</v>
      </c>
      <c r="C19" s="11">
        <f>C11/(C11+C7*C8)</f>
        <v>4.9825592052284888E-3</v>
      </c>
      <c r="P19" t="s">
        <v>30</v>
      </c>
    </row>
    <row r="20" spans="2:16" x14ac:dyDescent="0.2">
      <c r="B20" t="s">
        <v>31</v>
      </c>
      <c r="C20" s="12">
        <f>C16*(1-C19)+C17*(1-C18)*C19</f>
        <v>0.12352670666434427</v>
      </c>
      <c r="P20" t="s">
        <v>32</v>
      </c>
    </row>
    <row r="21" spans="2:16" x14ac:dyDescent="0.2">
      <c r="B21" t="s">
        <v>33</v>
      </c>
      <c r="C21" s="9">
        <v>0.16</v>
      </c>
      <c r="P21" t="s">
        <v>34</v>
      </c>
    </row>
    <row r="22" spans="2:16" x14ac:dyDescent="0.2">
      <c r="B22" t="s">
        <v>35</v>
      </c>
      <c r="C22" s="9">
        <v>0.1</v>
      </c>
      <c r="P22" t="s">
        <v>36</v>
      </c>
    </row>
    <row r="23" spans="2:16" x14ac:dyDescent="0.2">
      <c r="B23" t="s">
        <v>37</v>
      </c>
      <c r="C23" s="7">
        <v>2.5000000000000001E-2</v>
      </c>
      <c r="P23" t="s">
        <v>38</v>
      </c>
    </row>
    <row r="24" spans="2:16" x14ac:dyDescent="0.2">
      <c r="B24" t="s">
        <v>39</v>
      </c>
      <c r="C24" s="7">
        <v>0.15</v>
      </c>
      <c r="P24" t="s">
        <v>40</v>
      </c>
    </row>
    <row r="25" spans="2:16" x14ac:dyDescent="0.2">
      <c r="B25" t="s">
        <v>41</v>
      </c>
      <c r="C25" s="9">
        <v>0.35</v>
      </c>
      <c r="P25" t="s">
        <v>42</v>
      </c>
    </row>
    <row r="26" spans="2:16" x14ac:dyDescent="0.2">
      <c r="B26" t="s">
        <v>43</v>
      </c>
      <c r="C26" s="7">
        <v>0.16</v>
      </c>
      <c r="P26" t="s">
        <v>44</v>
      </c>
    </row>
    <row r="29" spans="2:16" x14ac:dyDescent="0.2">
      <c r="B29" s="1" t="s">
        <v>45</v>
      </c>
    </row>
    <row r="30" spans="2:16" x14ac:dyDescent="0.2">
      <c r="D30" s="13" t="s">
        <v>46</v>
      </c>
      <c r="E30" s="13" t="s">
        <v>47</v>
      </c>
      <c r="F30" s="13" t="s">
        <v>48</v>
      </c>
      <c r="G30" s="13" t="s">
        <v>49</v>
      </c>
      <c r="H30" s="13" t="s">
        <v>50</v>
      </c>
      <c r="I30" s="13" t="s">
        <v>51</v>
      </c>
      <c r="J30" s="13" t="s">
        <v>52</v>
      </c>
      <c r="K30" s="13" t="s">
        <v>53</v>
      </c>
      <c r="L30" s="13" t="s">
        <v>54</v>
      </c>
      <c r="M30" s="13" t="s">
        <v>55</v>
      </c>
      <c r="N30" s="13" t="s">
        <v>56</v>
      </c>
      <c r="O30" s="13" t="s">
        <v>57</v>
      </c>
    </row>
    <row r="31" spans="2:16" x14ac:dyDescent="0.2">
      <c r="B31" t="s">
        <v>58</v>
      </c>
      <c r="E31" s="9">
        <v>3.28</v>
      </c>
      <c r="F31" s="9">
        <v>0.61699999999999999</v>
      </c>
      <c r="G31" s="9">
        <v>0.05</v>
      </c>
      <c r="H31" s="9">
        <v>-0.25</v>
      </c>
      <c r="I31" s="9">
        <v>-0.1</v>
      </c>
      <c r="J31" s="9">
        <v>0.05</v>
      </c>
      <c r="K31" s="9">
        <v>0.05</v>
      </c>
      <c r="L31" s="9">
        <v>0.04</v>
      </c>
      <c r="M31" s="9">
        <v>0.03</v>
      </c>
      <c r="N31" s="9">
        <v>2.5000000000000001E-2</v>
      </c>
      <c r="O31" s="11">
        <f>C23</f>
        <v>2.5000000000000001E-2</v>
      </c>
      <c r="P31" t="s">
        <v>59</v>
      </c>
    </row>
    <row r="32" spans="2:16" x14ac:dyDescent="0.2">
      <c r="B32" s="1" t="s">
        <v>60</v>
      </c>
      <c r="D32" s="6">
        <f>C9</f>
        <v>42312</v>
      </c>
      <c r="E32" s="6">
        <f t="shared" ref="E32:O32" si="0">D32*(1+E31)</f>
        <v>181095.36</v>
      </c>
      <c r="F32" s="6">
        <f t="shared" si="0"/>
        <v>292831.19711999997</v>
      </c>
      <c r="G32" s="6">
        <f t="shared" si="0"/>
        <v>307472.75697599998</v>
      </c>
      <c r="H32" s="6">
        <f t="shared" si="0"/>
        <v>230604.56773199997</v>
      </c>
      <c r="I32" s="6">
        <f t="shared" si="0"/>
        <v>207544.11095879998</v>
      </c>
      <c r="J32" s="6">
        <f t="shared" si="0"/>
        <v>217921.31650674</v>
      </c>
      <c r="K32" s="6">
        <f t="shared" si="0"/>
        <v>228817.38233207702</v>
      </c>
      <c r="L32" s="6">
        <f t="shared" si="0"/>
        <v>237970.07762536011</v>
      </c>
      <c r="M32" s="6">
        <f t="shared" si="0"/>
        <v>245109.17995412092</v>
      </c>
      <c r="N32" s="6">
        <f t="shared" si="0"/>
        <v>251236.90945297392</v>
      </c>
      <c r="O32" s="6">
        <f t="shared" si="0"/>
        <v>257517.83218929823</v>
      </c>
    </row>
    <row r="33" spans="2:16" x14ac:dyDescent="0.2">
      <c r="B33" t="s">
        <v>61</v>
      </c>
      <c r="D33" s="11">
        <f>(1773+2169+3654+6136)/(8053+9301+11315+13643)</f>
        <v>0.3245415012289658</v>
      </c>
      <c r="E33" s="9">
        <v>0.78</v>
      </c>
      <c r="F33" s="9">
        <v>0.75</v>
      </c>
      <c r="G33" s="9">
        <v>0.6</v>
      </c>
      <c r="H33" s="9">
        <v>0.42</v>
      </c>
      <c r="I33" s="9">
        <v>0.35</v>
      </c>
      <c r="J33" s="9">
        <v>0.35</v>
      </c>
      <c r="K33" s="9">
        <v>0.35</v>
      </c>
      <c r="L33" s="9">
        <v>0.35</v>
      </c>
      <c r="M33" s="9">
        <v>0.35</v>
      </c>
      <c r="N33" s="9">
        <v>0.35</v>
      </c>
      <c r="O33" s="11">
        <f>C25</f>
        <v>0.35</v>
      </c>
      <c r="P33" t="s">
        <v>62</v>
      </c>
    </row>
    <row r="34" spans="2:16" x14ac:dyDescent="0.2">
      <c r="B34" t="s">
        <v>63</v>
      </c>
      <c r="E34" s="6">
        <f t="shared" ref="E34:O34" si="1">E32*E33</f>
        <v>141254.38079999998</v>
      </c>
      <c r="F34" s="6">
        <f t="shared" si="1"/>
        <v>219623.39783999999</v>
      </c>
      <c r="G34" s="6">
        <f t="shared" si="1"/>
        <v>184483.65418559997</v>
      </c>
      <c r="H34" s="6">
        <f t="shared" si="1"/>
        <v>96853.918447439981</v>
      </c>
      <c r="I34" s="6">
        <f t="shared" si="1"/>
        <v>72640.438835579989</v>
      </c>
      <c r="J34" s="6">
        <f t="shared" si="1"/>
        <v>76272.460777358996</v>
      </c>
      <c r="K34" s="6">
        <f t="shared" si="1"/>
        <v>80086.08381622695</v>
      </c>
      <c r="L34" s="6">
        <f t="shared" si="1"/>
        <v>83289.527168876026</v>
      </c>
      <c r="M34" s="6">
        <f t="shared" si="1"/>
        <v>85788.212983942314</v>
      </c>
      <c r="N34" s="6">
        <f t="shared" si="1"/>
        <v>87932.918308540873</v>
      </c>
      <c r="O34" s="6">
        <f t="shared" si="1"/>
        <v>90131.241266254379</v>
      </c>
    </row>
    <row r="35" spans="2:16" x14ac:dyDescent="0.2">
      <c r="B35" t="s">
        <v>64</v>
      </c>
      <c r="E35" s="6">
        <f t="shared" ref="E35:N35" si="2">E34*(1-$C$21)</f>
        <v>118653.67987199998</v>
      </c>
      <c r="F35" s="6">
        <f t="shared" si="2"/>
        <v>184483.6541856</v>
      </c>
      <c r="G35" s="6">
        <f t="shared" si="2"/>
        <v>154966.26951590396</v>
      </c>
      <c r="H35" s="6">
        <f t="shared" si="2"/>
        <v>81357.291495849582</v>
      </c>
      <c r="I35" s="6">
        <f t="shared" si="2"/>
        <v>61017.968621887187</v>
      </c>
      <c r="J35" s="6">
        <f t="shared" si="2"/>
        <v>64068.867052981557</v>
      </c>
      <c r="K35" s="6">
        <f t="shared" si="2"/>
        <v>67272.310405630633</v>
      </c>
      <c r="L35" s="6">
        <f t="shared" si="2"/>
        <v>69963.202821855855</v>
      </c>
      <c r="M35" s="6">
        <f t="shared" si="2"/>
        <v>72062.098906511543</v>
      </c>
      <c r="N35" s="6">
        <f t="shared" si="2"/>
        <v>73863.651379174335</v>
      </c>
      <c r="O35" s="6">
        <f>O34*(1-C26)</f>
        <v>75710.242663653669</v>
      </c>
    </row>
    <row r="36" spans="2:16" x14ac:dyDescent="0.2">
      <c r="B36" t="s">
        <v>65</v>
      </c>
      <c r="E36" s="6">
        <f t="shared" ref="E36:N36" si="3">-E32*$C$22</f>
        <v>-18109.536</v>
      </c>
      <c r="F36" s="6">
        <f t="shared" si="3"/>
        <v>-29283.119712</v>
      </c>
      <c r="G36" s="6">
        <f t="shared" si="3"/>
        <v>-30747.275697599998</v>
      </c>
      <c r="H36" s="6">
        <f t="shared" si="3"/>
        <v>-23060.4567732</v>
      </c>
      <c r="I36" s="6">
        <f t="shared" si="3"/>
        <v>-20754.411095880001</v>
      </c>
      <c r="J36" s="6">
        <f t="shared" si="3"/>
        <v>-21792.131650674</v>
      </c>
      <c r="K36" s="6">
        <f t="shared" si="3"/>
        <v>-22881.738233207703</v>
      </c>
      <c r="L36" s="6">
        <f t="shared" si="3"/>
        <v>-23797.007762536014</v>
      </c>
      <c r="M36" s="6">
        <f t="shared" si="3"/>
        <v>-24510.917995412092</v>
      </c>
      <c r="N36" s="6">
        <f t="shared" si="3"/>
        <v>-25123.690945297392</v>
      </c>
      <c r="O36" s="6">
        <f>-O35*C23/C24</f>
        <v>-12618.373777275612</v>
      </c>
      <c r="P36" t="s">
        <v>66</v>
      </c>
    </row>
    <row r="37" spans="2:16" x14ac:dyDescent="0.2">
      <c r="B37" s="1" t="s">
        <v>67</v>
      </c>
      <c r="E37" s="14">
        <f t="shared" ref="E37:O37" si="4">E35+E36</f>
        <v>100544.14387199999</v>
      </c>
      <c r="F37" s="14">
        <f t="shared" si="4"/>
        <v>155200.53447359998</v>
      </c>
      <c r="G37" s="14">
        <f t="shared" si="4"/>
        <v>124218.99381830396</v>
      </c>
      <c r="H37" s="14">
        <f t="shared" si="4"/>
        <v>58296.834722649583</v>
      </c>
      <c r="I37" s="14">
        <f t="shared" si="4"/>
        <v>40263.557526007186</v>
      </c>
      <c r="J37" s="14">
        <f t="shared" si="4"/>
        <v>42276.73540230756</v>
      </c>
      <c r="K37" s="14">
        <f t="shared" si="4"/>
        <v>44390.57217242293</v>
      </c>
      <c r="L37" s="14">
        <f t="shared" si="4"/>
        <v>46166.195059319842</v>
      </c>
      <c r="M37" s="14">
        <f t="shared" si="4"/>
        <v>47551.180911099451</v>
      </c>
      <c r="N37" s="14">
        <f t="shared" si="4"/>
        <v>48739.960433876942</v>
      </c>
      <c r="O37" s="14">
        <f t="shared" si="4"/>
        <v>63091.868886378055</v>
      </c>
    </row>
    <row r="38" spans="2:16" x14ac:dyDescent="0.2">
      <c r="B38" t="s">
        <v>68</v>
      </c>
      <c r="E38" s="11">
        <f>(DATE(2026,12,31)-$C$6)/365</f>
        <v>0.21369863013698631</v>
      </c>
      <c r="F38" s="11">
        <v>1</v>
      </c>
      <c r="G38" s="11">
        <v>1</v>
      </c>
      <c r="H38" s="11">
        <v>1</v>
      </c>
      <c r="I38" s="11">
        <v>1</v>
      </c>
      <c r="J38" s="11">
        <v>1</v>
      </c>
      <c r="K38" s="11">
        <v>1</v>
      </c>
      <c r="L38" s="11">
        <v>1</v>
      </c>
      <c r="M38" s="11">
        <v>1</v>
      </c>
      <c r="N38" s="11">
        <v>1</v>
      </c>
    </row>
    <row r="39" spans="2:16" x14ac:dyDescent="0.2">
      <c r="B39" t="s">
        <v>69</v>
      </c>
      <c r="E39" s="15">
        <f>E38/2</f>
        <v>0.10684931506849316</v>
      </c>
      <c r="F39" s="15">
        <f>$E$38+1-0.5</f>
        <v>0.71369863013698631</v>
      </c>
      <c r="G39" s="15">
        <f>$E$38+2-0.5</f>
        <v>1.7136986301369861</v>
      </c>
      <c r="H39" s="15">
        <f>$E$38+3-0.5</f>
        <v>2.7136986301369861</v>
      </c>
      <c r="I39" s="15">
        <f>$E$38+4-0.5</f>
        <v>3.7136986301369861</v>
      </c>
      <c r="J39" s="15">
        <f>$E$38+5-0.5</f>
        <v>4.7136986301369861</v>
      </c>
      <c r="K39" s="15">
        <f>$E$38+6-0.5</f>
        <v>5.7136986301369861</v>
      </c>
      <c r="L39" s="15">
        <f>$E$38+7-0.5</f>
        <v>6.7136986301369861</v>
      </c>
      <c r="M39" s="15">
        <f>$E$38+8-0.5</f>
        <v>7.713698630136987</v>
      </c>
      <c r="N39" s="15">
        <f>$E$38+9-0.5</f>
        <v>8.713698630136987</v>
      </c>
    </row>
    <row r="40" spans="2:16" x14ac:dyDescent="0.2">
      <c r="B40" t="s">
        <v>70</v>
      </c>
      <c r="E40" s="16">
        <f t="shared" ref="E40:N40" si="5">1/(1+$C$20)^E39</f>
        <v>0.98763210321025574</v>
      </c>
      <c r="F40" s="16">
        <f t="shared" si="5"/>
        <v>0.92023489289909155</v>
      </c>
      <c r="G40" s="16">
        <f t="shared" si="5"/>
        <v>0.81905920655076481</v>
      </c>
      <c r="H40" s="16">
        <f t="shared" si="5"/>
        <v>0.72900733172821708</v>
      </c>
      <c r="I40" s="16">
        <f t="shared" si="5"/>
        <v>0.64885625540008585</v>
      </c>
      <c r="J40" s="16">
        <f t="shared" si="5"/>
        <v>0.57751742931548578</v>
      </c>
      <c r="K40" s="16">
        <f t="shared" si="5"/>
        <v>0.51402198620635031</v>
      </c>
      <c r="L40" s="16">
        <f t="shared" si="5"/>
        <v>0.4575075814018148</v>
      </c>
      <c r="M40" s="16">
        <f t="shared" si="5"/>
        <v>0.40720668114789732</v>
      </c>
      <c r="N40" s="16">
        <f t="shared" si="5"/>
        <v>0.36243613857374118</v>
      </c>
    </row>
    <row r="41" spans="2:16" x14ac:dyDescent="0.2">
      <c r="B41" s="1" t="s">
        <v>71</v>
      </c>
      <c r="E41" s="14">
        <f t="shared" ref="E41:N41" si="6">E37*E38*E40</f>
        <v>21220.407379908702</v>
      </c>
      <c r="F41" s="14">
        <f t="shared" si="6"/>
        <v>142820.94721919505</v>
      </c>
      <c r="G41" s="14">
        <f t="shared" si="6"/>
        <v>101742.7105153544</v>
      </c>
      <c r="H41" s="14">
        <f t="shared" si="6"/>
        <v>42498.819929359648</v>
      </c>
      <c r="I41" s="14">
        <f t="shared" si="6"/>
        <v>26125.261165410968</v>
      </c>
      <c r="J41" s="14">
        <f t="shared" si="6"/>
        <v>24415.55154939165</v>
      </c>
      <c r="K41" s="14">
        <f t="shared" si="6"/>
        <v>22817.730076905176</v>
      </c>
      <c r="L41" s="14">
        <f t="shared" si="6"/>
        <v>21121.384244113833</v>
      </c>
      <c r="M41" s="14">
        <f t="shared" si="6"/>
        <v>19363.158563472054</v>
      </c>
      <c r="N41" s="14">
        <f t="shared" si="6"/>
        <v>17665.123053891286</v>
      </c>
    </row>
    <row r="43" spans="2:16" x14ac:dyDescent="0.2">
      <c r="B43" s="1" t="s">
        <v>72</v>
      </c>
    </row>
    <row r="44" spans="2:16" x14ac:dyDescent="0.2">
      <c r="B44" t="s">
        <v>73</v>
      </c>
      <c r="D44" s="6">
        <f>SUM(E41:N41)</f>
        <v>439791.09369700274</v>
      </c>
    </row>
    <row r="45" spans="2:16" x14ac:dyDescent="0.2">
      <c r="B45" t="s">
        <v>74</v>
      </c>
      <c r="D45" s="6">
        <f>O37/(C20-C23)</f>
        <v>640352.96644305997</v>
      </c>
    </row>
    <row r="46" spans="2:16" x14ac:dyDescent="0.2">
      <c r="B46" t="s">
        <v>75</v>
      </c>
      <c r="D46" s="6">
        <f>D45/(1+C20)^(E38+9)</f>
        <v>218957.19477858546</v>
      </c>
    </row>
    <row r="47" spans="2:16" x14ac:dyDescent="0.2">
      <c r="B47" s="1" t="s">
        <v>76</v>
      </c>
      <c r="D47" s="14">
        <f>D44+D46</f>
        <v>658748.2884755882</v>
      </c>
    </row>
    <row r="48" spans="2:16" x14ac:dyDescent="0.2">
      <c r="B48" t="s">
        <v>77</v>
      </c>
      <c r="D48" s="11">
        <f>D46/D47</f>
        <v>0.33238370195279765</v>
      </c>
    </row>
    <row r="49" spans="2:16" x14ac:dyDescent="0.2">
      <c r="B49" t="s">
        <v>78</v>
      </c>
      <c r="D49" s="6">
        <f>C10</f>
        <v>68274</v>
      </c>
    </row>
    <row r="50" spans="2:16" x14ac:dyDescent="0.2">
      <c r="B50" s="1" t="s">
        <v>79</v>
      </c>
      <c r="D50" s="14">
        <f>D47+D49</f>
        <v>727022.2884755882</v>
      </c>
    </row>
    <row r="51" spans="2:16" x14ac:dyDescent="0.2">
      <c r="B51" s="1" t="s">
        <v>80</v>
      </c>
      <c r="D51" s="17">
        <f>D50/C8</f>
        <v>642.58643139083267</v>
      </c>
    </row>
    <row r="52" spans="2:16" x14ac:dyDescent="0.2">
      <c r="B52" t="s">
        <v>81</v>
      </c>
      <c r="D52" s="18">
        <f>C7</f>
        <v>914.13</v>
      </c>
    </row>
    <row r="53" spans="2:16" x14ac:dyDescent="0.2">
      <c r="B53" s="1" t="s">
        <v>82</v>
      </c>
      <c r="D53" s="19">
        <f>D51/D52-1</f>
        <v>-0.29705136972768353</v>
      </c>
    </row>
    <row r="54" spans="2:16" x14ac:dyDescent="0.2">
      <c r="B54" t="s">
        <v>83</v>
      </c>
      <c r="D54" s="20">
        <f>C7/74.33</f>
        <v>12.298264496165748</v>
      </c>
      <c r="P54" t="s">
        <v>84</v>
      </c>
    </row>
    <row r="55" spans="2:16" x14ac:dyDescent="0.2">
      <c r="B55" t="s">
        <v>85</v>
      </c>
      <c r="D55" s="20">
        <f>D51/74.33</f>
        <v>8.6450481823063736</v>
      </c>
    </row>
    <row r="58" spans="2:16" x14ac:dyDescent="0.2">
      <c r="B58" s="1" t="s">
        <v>86</v>
      </c>
    </row>
    <row r="59" spans="2:16" x14ac:dyDescent="0.2">
      <c r="B59" t="s">
        <v>87</v>
      </c>
      <c r="D59" s="21">
        <v>0.3</v>
      </c>
      <c r="E59" s="21">
        <v>0.32500000000000001</v>
      </c>
      <c r="F59" s="21">
        <v>0.35</v>
      </c>
      <c r="G59" s="21">
        <v>0.375</v>
      </c>
      <c r="H59" s="21">
        <v>0.4</v>
      </c>
    </row>
    <row r="60" spans="2:16" x14ac:dyDescent="0.2">
      <c r="C60" s="21">
        <f>$C$20+(-0.03)</f>
        <v>9.3526706664344275E-2</v>
      </c>
      <c r="D60" s="18">
        <f t="shared" ref="D60:H64" si="7">(SUMPRODUCT($E$37:$H$37,$E$38:$H$38,1/(1+$C60)^$E$39:$H$39)+SUMPRODUCT($I$32:$N$32*($I$33:$N$33+D$59-$C$25)*(1-$C$21)+$I$36:$N$36,1/(1+$C60)^$I$39:$N$39)+$O$32*D$59*(1-$C$26)*(1-$C$23/$C$24)/($C60-$C$23)/(1+$C60)^($E$38+9)+$C$10)/$C$8</f>
        <v>755.72701643038215</v>
      </c>
      <c r="E60" s="18">
        <f t="shared" si="7"/>
        <v>796.04257468372771</v>
      </c>
      <c r="F60" s="18">
        <f t="shared" si="7"/>
        <v>836.35813293707304</v>
      </c>
      <c r="G60" s="18">
        <f t="shared" si="7"/>
        <v>876.67369119041859</v>
      </c>
      <c r="H60" s="18">
        <f t="shared" si="7"/>
        <v>916.98924944376404</v>
      </c>
      <c r="P60" t="s">
        <v>88</v>
      </c>
    </row>
    <row r="61" spans="2:16" x14ac:dyDescent="0.2">
      <c r="C61" s="21">
        <f>$C$20+(-0.015)</f>
        <v>0.10852670666434427</v>
      </c>
      <c r="D61" s="18">
        <f t="shared" si="7"/>
        <v>657.75440887987043</v>
      </c>
      <c r="E61" s="18">
        <f t="shared" si="7"/>
        <v>689.85024952361164</v>
      </c>
      <c r="F61" s="18">
        <f t="shared" si="7"/>
        <v>721.94609016735251</v>
      </c>
      <c r="G61" s="18">
        <f t="shared" si="7"/>
        <v>754.04193081109372</v>
      </c>
      <c r="H61" s="18">
        <f t="shared" si="7"/>
        <v>786.13777145483459</v>
      </c>
    </row>
    <row r="62" spans="2:16" x14ac:dyDescent="0.2">
      <c r="C62" s="21">
        <f>$C$20+(0)</f>
        <v>0.12352670666434427</v>
      </c>
      <c r="D62" s="18">
        <f t="shared" si="7"/>
        <v>589.77535789769684</v>
      </c>
      <c r="E62" s="18">
        <f t="shared" si="7"/>
        <v>616.18089464426487</v>
      </c>
      <c r="F62" s="18">
        <f t="shared" si="7"/>
        <v>642.58643139083267</v>
      </c>
      <c r="G62" s="18">
        <f t="shared" si="7"/>
        <v>668.99196813740082</v>
      </c>
      <c r="H62" s="18">
        <f t="shared" si="7"/>
        <v>695.39750488396874</v>
      </c>
    </row>
    <row r="63" spans="2:16" x14ac:dyDescent="0.2">
      <c r="C63" s="21">
        <f>$C$20+(0.015)</f>
        <v>0.13852670666434427</v>
      </c>
      <c r="D63" s="18">
        <f t="shared" si="7"/>
        <v>539.8015893827793</v>
      </c>
      <c r="E63" s="18">
        <f t="shared" si="7"/>
        <v>562.0429468991108</v>
      </c>
      <c r="F63" s="18">
        <f t="shared" si="7"/>
        <v>584.28430441544231</v>
      </c>
      <c r="G63" s="18">
        <f t="shared" si="7"/>
        <v>606.5256619317737</v>
      </c>
      <c r="H63" s="18">
        <f t="shared" si="7"/>
        <v>628.76701944810509</v>
      </c>
    </row>
    <row r="64" spans="2:16" x14ac:dyDescent="0.2">
      <c r="C64" s="21">
        <f>$C$20+(0.03)</f>
        <v>0.15352670666434426</v>
      </c>
      <c r="D64" s="18">
        <f t="shared" si="7"/>
        <v>501.45867065602044</v>
      </c>
      <c r="E64" s="18">
        <f t="shared" si="7"/>
        <v>520.52709137114527</v>
      </c>
      <c r="F64" s="18">
        <f t="shared" si="7"/>
        <v>539.59551208626988</v>
      </c>
      <c r="G64" s="18">
        <f t="shared" si="7"/>
        <v>558.66393280139471</v>
      </c>
      <c r="H64" s="18">
        <f t="shared" si="7"/>
        <v>577.73235351651942</v>
      </c>
    </row>
    <row r="66" spans="2:2" x14ac:dyDescent="0.2">
      <c r="B66" s="1" t="s">
        <v>89</v>
      </c>
    </row>
    <row r="67" spans="2:2" x14ac:dyDescent="0.2">
      <c r="B67" t="s">
        <v>90</v>
      </c>
    </row>
    <row r="68" spans="2:2" x14ac:dyDescent="0.2">
      <c r="B68" t="s">
        <v>91</v>
      </c>
    </row>
    <row r="69" spans="2:2" x14ac:dyDescent="0.2">
      <c r="B69" t="s">
        <v>92</v>
      </c>
    </row>
    <row r="70" spans="2:2" x14ac:dyDescent="0.2">
      <c r="B70" t="s">
        <v>93</v>
      </c>
    </row>
    <row r="71" spans="2:2" x14ac:dyDescent="0.2">
      <c r="B71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 Cong Tan</cp:lastModifiedBy>
  <dcterms:created xsi:type="dcterms:W3CDTF">2026-10-06T20:35:55Z</dcterms:created>
  <dcterms:modified xsi:type="dcterms:W3CDTF">2026-10-15T01:12:17Z</dcterms:modified>
</cp:coreProperties>
</file>