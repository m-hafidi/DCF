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xr:revisionPtr revIDLastSave="0" documentId="13_ncr:1_{88E50A63-A709-734E-BCC2-D4ABCDBF307A}" xr6:coauthVersionLast="47" xr6:coauthVersionMax="47" xr10:uidLastSave="{00000000-0000-0000-0000-000000000000}"/>
  <bookViews>
    <workbookView xWindow="0" yWindow="600" windowWidth="34200" windowHeight="19220" xr2:uid="{00000000-000D-0000-FFFF-FFFF00000000}"/>
  </bookViews>
  <sheets>
    <sheet name="DC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4" i="1" l="1"/>
  <c r="D52" i="1"/>
  <c r="L39" i="1"/>
  <c r="E38" i="1"/>
  <c r="F39" i="1" s="1"/>
  <c r="O33" i="1"/>
  <c r="D33" i="1"/>
  <c r="O31" i="1"/>
  <c r="C19" i="1"/>
  <c r="C16" i="1"/>
  <c r="C20" i="1" s="1"/>
  <c r="C10" i="1"/>
  <c r="D49" i="1" s="1"/>
  <c r="C9" i="1"/>
  <c r="D32" i="1" s="1"/>
  <c r="E32" i="1" s="1"/>
  <c r="I39" i="1" l="1"/>
  <c r="J39" i="1"/>
  <c r="H39" i="1"/>
  <c r="K39" i="1"/>
  <c r="K40" i="1" s="1"/>
  <c r="E36" i="1"/>
  <c r="E34" i="1"/>
  <c r="E35" i="1" s="1"/>
  <c r="F32" i="1"/>
  <c r="F40" i="1"/>
  <c r="C61" i="1"/>
  <c r="L40" i="1"/>
  <c r="C64" i="1"/>
  <c r="I40" i="1"/>
  <c r="C63" i="1"/>
  <c r="M40" i="1"/>
  <c r="J40" i="1"/>
  <c r="C62" i="1"/>
  <c r="C60" i="1"/>
  <c r="H40" i="1"/>
  <c r="G39" i="1"/>
  <c r="G40" i="1" s="1"/>
  <c r="N39" i="1"/>
  <c r="N40" i="1" s="1"/>
  <c r="M39" i="1"/>
  <c r="E39" i="1"/>
  <c r="E40" i="1" s="1"/>
  <c r="E37" i="1" l="1"/>
  <c r="E41" i="1"/>
  <c r="F36" i="1"/>
  <c r="F34" i="1"/>
  <c r="F35" i="1" s="1"/>
  <c r="F37" i="1" s="1"/>
  <c r="F41" i="1" s="1"/>
  <c r="G32" i="1"/>
  <c r="G34" i="1" l="1"/>
  <c r="G35" i="1" s="1"/>
  <c r="H32" i="1"/>
  <c r="G36" i="1"/>
  <c r="H36" i="1" l="1"/>
  <c r="H34" i="1"/>
  <c r="H35" i="1" s="1"/>
  <c r="H37" i="1" s="1"/>
  <c r="H41" i="1" s="1"/>
  <c r="I32" i="1"/>
  <c r="G37" i="1"/>
  <c r="G41" i="1" s="1"/>
  <c r="I36" i="1" l="1"/>
  <c r="I34" i="1"/>
  <c r="I35" i="1" s="1"/>
  <c r="I37" i="1" s="1"/>
  <c r="I41" i="1" s="1"/>
  <c r="J32" i="1"/>
  <c r="J34" i="1" l="1"/>
  <c r="J35" i="1" s="1"/>
  <c r="K32" i="1"/>
  <c r="J36" i="1"/>
  <c r="J37" i="1" l="1"/>
  <c r="J41" i="1" s="1"/>
  <c r="K34" i="1"/>
  <c r="K35" i="1" s="1"/>
  <c r="L32" i="1"/>
  <c r="K36" i="1"/>
  <c r="M32" i="1" l="1"/>
  <c r="L36" i="1"/>
  <c r="L34" i="1"/>
  <c r="L35" i="1" s="1"/>
  <c r="L37" i="1" s="1"/>
  <c r="L41" i="1" s="1"/>
  <c r="K37" i="1"/>
  <c r="K41" i="1" s="1"/>
  <c r="N32" i="1" l="1"/>
  <c r="M36" i="1"/>
  <c r="M34" i="1"/>
  <c r="M35" i="1" s="1"/>
  <c r="M37" i="1" s="1"/>
  <c r="M41" i="1" s="1"/>
  <c r="N36" i="1" l="1"/>
  <c r="N34" i="1"/>
  <c r="N35" i="1" s="1"/>
  <c r="N37" i="1" s="1"/>
  <c r="N41" i="1" s="1"/>
  <c r="D44" i="1" s="1"/>
  <c r="O32" i="1"/>
  <c r="O34" i="1" l="1"/>
  <c r="O35" i="1" s="1"/>
  <c r="E61" i="1"/>
  <c r="F62" i="1"/>
  <c r="E62" i="1"/>
  <c r="G61" i="1"/>
  <c r="E60" i="1"/>
  <c r="H61" i="1"/>
  <c r="F64" i="1"/>
  <c r="H62" i="1"/>
  <c r="H63" i="1"/>
  <c r="G60" i="1"/>
  <c r="H64" i="1"/>
  <c r="G62" i="1"/>
  <c r="D60" i="1"/>
  <c r="E63" i="1"/>
  <c r="D64" i="1"/>
  <c r="D61" i="1"/>
  <c r="D63" i="1"/>
  <c r="D62" i="1"/>
  <c r="F60" i="1"/>
  <c r="G63" i="1"/>
  <c r="F63" i="1"/>
  <c r="G64" i="1"/>
  <c r="F61" i="1"/>
  <c r="E64" i="1"/>
  <c r="H60" i="1"/>
  <c r="O36" i="1" l="1"/>
  <c r="O37" i="1"/>
  <c r="D45" i="1" s="1"/>
  <c r="D46" i="1" s="1"/>
  <c r="D47" i="1" l="1"/>
  <c r="D50" i="1" s="1"/>
  <c r="D51" i="1" s="1"/>
  <c r="D55" i="1" l="1"/>
  <c r="D53" i="1"/>
  <c r="D48" i="1"/>
</calcChain>
</file>

<file path=xl/sharedStrings.xml><?xml version="1.0" encoding="utf-8"?>
<sst xmlns="http://schemas.openxmlformats.org/spreadsheetml/2006/main" count="95" uniqueCount="95">
  <si>
    <t>Tesla, Inc. (TSLA) · Independent 10-year DCF</t>
  </si>
  <si>
    <t>USD millions unless stated · valuation date 14 Oct 2026 · blue = input, black = formula, yellow = key judgment</t>
  </si>
  <si>
    <t>INPUTS</t>
  </si>
  <si>
    <t>Valuation date</t>
  </si>
  <si>
    <t>Today</t>
  </si>
  <si>
    <t>Share price ($)</t>
  </si>
  <si>
    <t>Yahoo Finance TSLA, close 14 Oct 2026</t>
  </si>
  <si>
    <t>Shares outstanding (millions)</t>
  </si>
  <si>
    <t>Shares outstanding at 16 Jul 2026, cover of the Q2 2026 Form 10-Q (3,949,547,394). Up from 3,225m a year earlier</t>
  </si>
  <si>
    <t>FY2025 revenue</t>
  </si>
  <si>
    <t>FY2025 total revenues $94,827m (Form 10-K, via SEC EDGAR)</t>
  </si>
  <si>
    <t>Net cash / (net debt)</t>
  </si>
  <si>
    <t>30 Jun 2026, Q2 2026 Form 10-Q: cash 15,219 + short-term investments 28,305 − debt 9,080</t>
  </si>
  <si>
    <t>Total debt</t>
  </si>
  <si>
    <t>Carrying amount of all debt, Q2 2026 Form 10-Q. Used only to weight debt in the cost of capital</t>
  </si>
  <si>
    <t>Risk-free rate (US 10-yr)</t>
  </si>
  <si>
    <t>^TNX 5.19%, close 14 Oct 2026 (Yahoo Finance)</t>
  </si>
  <si>
    <t>Beta</t>
  </si>
  <si>
    <t>Judgment: 5-year monthly regression against the MASI gives 1.77</t>
  </si>
  <si>
    <t>Equity risk premium</t>
  </si>
  <si>
    <t>Judgment: mid-range, same as the other models</t>
  </si>
  <si>
    <t>Country risk premium</t>
  </si>
  <si>
    <t>None: US company</t>
  </si>
  <si>
    <t>Cost of equity</t>
  </si>
  <si>
    <t>Risk-free rate + beta × equity risk premium + country premium</t>
  </si>
  <si>
    <t>Cost of debt (before tax)</t>
  </si>
  <si>
    <t>Judgment: risk-free rate plus 1.5%</t>
  </si>
  <si>
    <t>Tax saving on interest</t>
  </si>
  <si>
    <t>US federal corporate tax rate</t>
  </si>
  <si>
    <t>Debt share of capital</t>
  </si>
  <si>
    <t>Total debt ÷ (total debt + market value of the shares)</t>
  </si>
  <si>
    <t>WACC</t>
  </si>
  <si>
    <t>Weighted average cost of capital: the discount rate</t>
  </si>
  <si>
    <t>Tax rate (forecast)</t>
  </si>
  <si>
    <t>Judgment. FY2025 effective rate 27% ($1,423m ÷ $5,278m) on small profits; 20% is a normal long-run rate</t>
  </si>
  <si>
    <t>Sales-to-capital ratio</t>
  </si>
  <si>
    <t>Judgment. Each $1.50 of extra sales needs $1 of new capital: factories, batteries and AI computing</t>
  </si>
  <si>
    <t>Terminal growth</t>
  </si>
  <si>
    <t>Judgment: below the long-run US nominal growth rate</t>
  </si>
  <si>
    <t>Terminal ROIC</t>
  </si>
  <si>
    <t>Judgment: equal to a typical car maker's cost of capital plus a little</t>
  </si>
  <si>
    <t>Terminal operating margin</t>
  </si>
  <si>
    <t>Judgment. FY2025 4.6%, 1H26 2.6%, peak 16.8% (2022). 10% assumes energy storage and software lift margins above other car makers</t>
  </si>
  <si>
    <t>Terminal tax rate</t>
  </si>
  <si>
    <t>Long-run rate</t>
  </si>
  <si>
    <t>PROJECTION</t>
  </si>
  <si>
    <t>2025A</t>
  </si>
  <si>
    <t>2026E</t>
  </si>
  <si>
    <t>2027E</t>
  </si>
  <si>
    <t>2028E</t>
  </si>
  <si>
    <t>2029E</t>
  </si>
  <si>
    <t>2030E</t>
  </si>
  <si>
    <t>2031E</t>
  </si>
  <si>
    <t>2032E</t>
  </si>
  <si>
    <t>2033E</t>
  </si>
  <si>
    <t>2034E</t>
  </si>
  <si>
    <t>2035E</t>
  </si>
  <si>
    <t>Terminal</t>
  </si>
  <si>
    <t>Revenue growth</t>
  </si>
  <si>
    <t>2026E +13.0% and 2027E +13.6% = analyst averages on Yahoo Finance (41 analysts). Then 15% for two years (robotaxi, energy) fading to 4%</t>
  </si>
  <si>
    <t>Revenue</t>
  </si>
  <si>
    <t>Operating margin</t>
  </si>
  <si>
    <t>FY2025 actual 4.6% ($4,355m operating income, Form 10-K). I assume a recovery to 10% by 2030</t>
  </si>
  <si>
    <t>EBIT</t>
  </si>
  <si>
    <t>NOPAT</t>
  </si>
  <si>
    <t>Less: reinvestment (Δrevenue ÷ sales-to-capital)</t>
  </si>
  <si>
    <t>No reinvestment credit in a down year (MAX 0). Terminal: NOPAT × growth ÷ ROIC</t>
  </si>
  <si>
    <t>Free cash flow to firm</t>
  </si>
  <si>
    <t>Share of year counted</t>
  </si>
  <si>
    <t>Years to cash flow (mid-year)</t>
  </si>
  <si>
    <t>Discount factor</t>
  </si>
  <si>
    <t>Present value</t>
  </si>
  <si>
    <t>VALUATION</t>
  </si>
  <si>
    <t>PV of 2026–2035 cash flows</t>
  </si>
  <si>
    <t>Terminal value (end of 2035)</t>
  </si>
  <si>
    <t>PV of terminal value</t>
  </si>
  <si>
    <t>Enterprise value</t>
  </si>
  <si>
    <t xml:space="preserve">  Terminal value share of EV</t>
  </si>
  <si>
    <t>Plus: net cash / (less: net debt)</t>
  </si>
  <si>
    <t>Equity value</t>
  </si>
  <si>
    <t>Value per share ($)</t>
  </si>
  <si>
    <t>Current price ($)</t>
  </si>
  <si>
    <t>Upside / (downside)</t>
  </si>
  <si>
    <t>Current P/E (last 4 quarters)</t>
  </si>
  <si>
    <t>Diluted EPS, last four quarters: FY2025 $1.08 + 1H26 $0.45 − 1H25 $0.45 = $1.08</t>
  </si>
  <si>
    <t>P/E at DCF value</t>
  </si>
  <si>
    <t>SENSITIVITY: value per share ($)</t>
  </si>
  <si>
    <t>WACC ↓ / terminal operating margin →</t>
  </si>
  <si>
    <t>Terminal margin set to the column value, and each margin from 2030 on moved by the same amount; centre = base case</t>
  </si>
  <si>
    <t>Notes</t>
  </si>
  <si>
    <t>Base case: $22.97 a share against a price of $367.16 (-94%). WACC 13.2%; terminal value is 85% of enterprise value.</t>
  </si>
  <si>
    <t>Tesla's price is mostly a bet on businesses that are small today: robotaxis, humanoid robots and AI. A DCF built on car and battery sales cannot reach it.</t>
  </si>
  <si>
    <t>No margin closes the gap: the price needs much faster growth for much longer. Try 30% a year through 2032 with a 20% margin to see what the market is assuming.</t>
  </si>
  <si>
    <t>Net cash of $34bn.</t>
  </si>
  <si>
    <t>Sources: Tesla FY2025 Form 10-K and 2026 10-Q filings via SEC EDGAR; analyst estimates and price from Yahoo Finance, 14 Oct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</si>
</sst>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yyyy\-mm\-dd"/>
    <numFmt numFmtId="166" formatCode="#,##0.0"/>
    <numFmt numFmtId="167" formatCode="#,##0;\(#,##0\);&quot;-&quot;"/>
    <numFmt numFmtId="168" formatCode="0.0%;\(0.0%\);&quot;-&quot;"/>
    <numFmt numFmtId="169" formatCode="0.000"/>
    <numFmt numFmtId="170" formatCode="0.0&quot;x&quot;"/>
    <numFmt numFmtId="171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FF"/>
      <name val="Calibri"/>
      <family val="2"/>
    </font>
    <font>
      <b/>
      <sz val="11"/>
      <color rgb="FF0000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164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168" fontId="2" fillId="0" borderId="0" xfId="0" applyNumberFormat="1" applyFont="1"/>
    <xf numFmtId="2" fontId="2" fillId="2" borderId="0" xfId="0" applyNumberFormat="1" applyFont="1" applyFill="1"/>
    <xf numFmtId="168" fontId="2" fillId="2" borderId="0" xfId="0" applyNumberFormat="1" applyFont="1" applyFill="1"/>
    <xf numFmtId="168" fontId="3" fillId="0" borderId="0" xfId="0" applyNumberFormat="1" applyFont="1"/>
    <xf numFmtId="168" fontId="0" fillId="0" borderId="0" xfId="0" applyNumberFormat="1"/>
    <xf numFmtId="168" fontId="1" fillId="0" borderId="0" xfId="0" applyNumberFormat="1" applyFont="1"/>
    <xf numFmtId="0" fontId="1" fillId="3" borderId="0" xfId="0" applyFont="1" applyFill="1" applyAlignment="1">
      <alignment horizontal="right"/>
    </xf>
    <xf numFmtId="167" fontId="0" fillId="0" borderId="0" xfId="0" applyNumberFormat="1"/>
    <xf numFmtId="167" fontId="1" fillId="0" borderId="0" xfId="0" applyNumberFormat="1" applyFont="1"/>
    <xf numFmtId="2" fontId="0" fillId="0" borderId="0" xfId="0" applyNumberFormat="1"/>
    <xf numFmtId="169" fontId="0" fillId="0" borderId="0" xfId="0" applyNumberFormat="1"/>
    <xf numFmtId="168" fontId="1" fillId="2" borderId="0" xfId="0" applyNumberFormat="1" applyFont="1" applyFill="1"/>
    <xf numFmtId="170" fontId="0" fillId="0" borderId="0" xfId="0" applyNumberFormat="1"/>
    <xf numFmtId="168" fontId="0" fillId="3" borderId="0" xfId="0" applyNumberFormat="1" applyFill="1"/>
    <xf numFmtId="171" fontId="2" fillId="0" borderId="0" xfId="0" applyNumberFormat="1" applyFont="1"/>
    <xf numFmtId="171" fontId="1" fillId="2" borderId="0" xfId="0" applyNumberFormat="1" applyFont="1" applyFill="1"/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71"/>
  <sheetViews>
    <sheetView tabSelected="1"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44" customWidth="1"/>
    <col min="3" max="3" width="13" customWidth="1"/>
    <col min="4" max="15" width="11" customWidth="1"/>
    <col min="16" max="16" width="120" customWidth="1"/>
  </cols>
  <sheetData>
    <row r="2" spans="2:16" x14ac:dyDescent="0.2">
      <c r="B2" s="1" t="s">
        <v>0</v>
      </c>
    </row>
    <row r="3" spans="2:16" x14ac:dyDescent="0.2">
      <c r="B3" t="s">
        <v>1</v>
      </c>
    </row>
    <row r="5" spans="2:16" x14ac:dyDescent="0.2">
      <c r="B5" s="1" t="s">
        <v>2</v>
      </c>
    </row>
    <row r="6" spans="2:16" x14ac:dyDescent="0.2">
      <c r="B6" t="s">
        <v>3</v>
      </c>
      <c r="C6" s="2">
        <v>46309</v>
      </c>
      <c r="P6" t="s">
        <v>4</v>
      </c>
    </row>
    <row r="7" spans="2:16" x14ac:dyDescent="0.2">
      <c r="B7" t="s">
        <v>5</v>
      </c>
      <c r="C7" s="19">
        <v>367.16</v>
      </c>
      <c r="P7" t="s">
        <v>6</v>
      </c>
    </row>
    <row r="8" spans="2:16" x14ac:dyDescent="0.2">
      <c r="B8" t="s">
        <v>7</v>
      </c>
      <c r="C8" s="3">
        <v>3949.5</v>
      </c>
      <c r="P8" t="s">
        <v>8</v>
      </c>
    </row>
    <row r="9" spans="2:16" x14ac:dyDescent="0.2">
      <c r="B9" t="s">
        <v>9</v>
      </c>
      <c r="C9" s="4">
        <f>94827</f>
        <v>94827</v>
      </c>
      <c r="P9" t="s">
        <v>10</v>
      </c>
    </row>
    <row r="10" spans="2:16" x14ac:dyDescent="0.2">
      <c r="B10" t="s">
        <v>11</v>
      </c>
      <c r="C10" s="4">
        <f>15219+28305-9080</f>
        <v>34444</v>
      </c>
      <c r="P10" t="s">
        <v>12</v>
      </c>
    </row>
    <row r="11" spans="2:16" x14ac:dyDescent="0.2">
      <c r="B11" t="s">
        <v>13</v>
      </c>
      <c r="C11" s="4">
        <v>9080</v>
      </c>
      <c r="P11" t="s">
        <v>14</v>
      </c>
    </row>
    <row r="12" spans="2:16" x14ac:dyDescent="0.2">
      <c r="B12" t="s">
        <v>15</v>
      </c>
      <c r="C12" s="5">
        <v>5.1900000000000002E-2</v>
      </c>
      <c r="P12" t="s">
        <v>16</v>
      </c>
    </row>
    <row r="13" spans="2:16" x14ac:dyDescent="0.2">
      <c r="B13" t="s">
        <v>17</v>
      </c>
      <c r="C13" s="6">
        <v>1.8</v>
      </c>
      <c r="P13" t="s">
        <v>18</v>
      </c>
    </row>
    <row r="14" spans="2:16" x14ac:dyDescent="0.2">
      <c r="B14" t="s">
        <v>19</v>
      </c>
      <c r="C14" s="7">
        <v>4.4999999999999998E-2</v>
      </c>
      <c r="P14" t="s">
        <v>20</v>
      </c>
    </row>
    <row r="15" spans="2:16" x14ac:dyDescent="0.2">
      <c r="B15" t="s">
        <v>21</v>
      </c>
      <c r="C15" s="5">
        <v>0</v>
      </c>
      <c r="P15" t="s">
        <v>22</v>
      </c>
    </row>
    <row r="16" spans="2:16" x14ac:dyDescent="0.2">
      <c r="B16" t="s">
        <v>23</v>
      </c>
      <c r="C16" s="8">
        <f>C12+C13*C14+C15</f>
        <v>0.13290000000000002</v>
      </c>
      <c r="P16" t="s">
        <v>24</v>
      </c>
    </row>
    <row r="17" spans="2:16" x14ac:dyDescent="0.2">
      <c r="B17" t="s">
        <v>25</v>
      </c>
      <c r="C17" s="5">
        <v>6.7000000000000004E-2</v>
      </c>
      <c r="P17" t="s">
        <v>26</v>
      </c>
    </row>
    <row r="18" spans="2:16" x14ac:dyDescent="0.2">
      <c r="B18" t="s">
        <v>27</v>
      </c>
      <c r="C18" s="5">
        <v>0.21</v>
      </c>
      <c r="P18" t="s">
        <v>28</v>
      </c>
    </row>
    <row r="19" spans="2:16" x14ac:dyDescent="0.2">
      <c r="B19" t="s">
        <v>29</v>
      </c>
      <c r="C19" s="9">
        <f>C11/(C11+C7*C8)</f>
        <v>6.2226797460450374E-3</v>
      </c>
      <c r="P19" t="s">
        <v>30</v>
      </c>
    </row>
    <row r="20" spans="2:16" x14ac:dyDescent="0.2">
      <c r="B20" t="s">
        <v>31</v>
      </c>
      <c r="C20" s="10">
        <f>C16*(1-C19)+C17*(1-C18)*C19</f>
        <v>0.13240237230070881</v>
      </c>
      <c r="P20" t="s">
        <v>32</v>
      </c>
    </row>
    <row r="21" spans="2:16" x14ac:dyDescent="0.2">
      <c r="B21" t="s">
        <v>33</v>
      </c>
      <c r="C21" s="5">
        <v>0.2</v>
      </c>
      <c r="P21" t="s">
        <v>34</v>
      </c>
    </row>
    <row r="22" spans="2:16" x14ac:dyDescent="0.2">
      <c r="B22" t="s">
        <v>35</v>
      </c>
      <c r="C22" s="6">
        <v>1.5</v>
      </c>
      <c r="P22" t="s">
        <v>36</v>
      </c>
    </row>
    <row r="23" spans="2:16" x14ac:dyDescent="0.2">
      <c r="B23" t="s">
        <v>37</v>
      </c>
      <c r="C23" s="5">
        <v>2.5000000000000001E-2</v>
      </c>
      <c r="P23" t="s">
        <v>38</v>
      </c>
    </row>
    <row r="24" spans="2:16" x14ac:dyDescent="0.2">
      <c r="B24" t="s">
        <v>39</v>
      </c>
      <c r="C24" s="5">
        <v>0.12</v>
      </c>
      <c r="P24" t="s">
        <v>40</v>
      </c>
    </row>
    <row r="25" spans="2:16" x14ac:dyDescent="0.2">
      <c r="B25" t="s">
        <v>41</v>
      </c>
      <c r="C25" s="7">
        <v>0.1</v>
      </c>
      <c r="P25" t="s">
        <v>42</v>
      </c>
    </row>
    <row r="26" spans="2:16" x14ac:dyDescent="0.2">
      <c r="B26" t="s">
        <v>43</v>
      </c>
      <c r="C26" s="5">
        <v>0.2</v>
      </c>
      <c r="P26" t="s">
        <v>44</v>
      </c>
    </row>
    <row r="29" spans="2:16" x14ac:dyDescent="0.2">
      <c r="B29" s="1" t="s">
        <v>45</v>
      </c>
    </row>
    <row r="30" spans="2:16" x14ac:dyDescent="0.2">
      <c r="D30" s="11" t="s">
        <v>46</v>
      </c>
      <c r="E30" s="11" t="s">
        <v>47</v>
      </c>
      <c r="F30" s="11" t="s">
        <v>48</v>
      </c>
      <c r="G30" s="11" t="s">
        <v>49</v>
      </c>
      <c r="H30" s="11" t="s">
        <v>50</v>
      </c>
      <c r="I30" s="11" t="s">
        <v>51</v>
      </c>
      <c r="J30" s="11" t="s">
        <v>52</v>
      </c>
      <c r="K30" s="11" t="s">
        <v>53</v>
      </c>
      <c r="L30" s="11" t="s">
        <v>54</v>
      </c>
      <c r="M30" s="11" t="s">
        <v>55</v>
      </c>
      <c r="N30" s="11" t="s">
        <v>56</v>
      </c>
      <c r="O30" s="11" t="s">
        <v>57</v>
      </c>
    </row>
    <row r="31" spans="2:16" x14ac:dyDescent="0.2">
      <c r="B31" t="s">
        <v>58</v>
      </c>
      <c r="E31" s="7">
        <v>0.13</v>
      </c>
      <c r="F31" s="7">
        <v>0.13600000000000001</v>
      </c>
      <c r="G31" s="7">
        <v>0.15</v>
      </c>
      <c r="H31" s="7">
        <v>0.15</v>
      </c>
      <c r="I31" s="7">
        <v>0.12</v>
      </c>
      <c r="J31" s="7">
        <v>0.1</v>
      </c>
      <c r="K31" s="7">
        <v>0.08</v>
      </c>
      <c r="L31" s="7">
        <v>0.06</v>
      </c>
      <c r="M31" s="7">
        <v>0.05</v>
      </c>
      <c r="N31" s="7">
        <v>0.04</v>
      </c>
      <c r="O31" s="9">
        <f>C23</f>
        <v>2.5000000000000001E-2</v>
      </c>
      <c r="P31" t="s">
        <v>59</v>
      </c>
    </row>
    <row r="32" spans="2:16" x14ac:dyDescent="0.2">
      <c r="B32" s="1" t="s">
        <v>60</v>
      </c>
      <c r="D32" s="12">
        <f>C9</f>
        <v>94827</v>
      </c>
      <c r="E32" s="12">
        <f t="shared" ref="E32:O32" si="0">D32*(1+E31)</f>
        <v>107154.51</v>
      </c>
      <c r="F32" s="12">
        <f t="shared" si="0"/>
        <v>121727.52336000001</v>
      </c>
      <c r="G32" s="12">
        <f t="shared" si="0"/>
        <v>139986.65186399998</v>
      </c>
      <c r="H32" s="12">
        <f t="shared" si="0"/>
        <v>160984.64964359996</v>
      </c>
      <c r="I32" s="12">
        <f t="shared" si="0"/>
        <v>180302.80760083196</v>
      </c>
      <c r="J32" s="12">
        <f t="shared" si="0"/>
        <v>198333.08836091516</v>
      </c>
      <c r="K32" s="12">
        <f t="shared" si="0"/>
        <v>214199.73542978839</v>
      </c>
      <c r="L32" s="12">
        <f t="shared" si="0"/>
        <v>227051.71955557569</v>
      </c>
      <c r="M32" s="12">
        <f t="shared" si="0"/>
        <v>238404.30553335449</v>
      </c>
      <c r="N32" s="12">
        <f t="shared" si="0"/>
        <v>247940.47775468868</v>
      </c>
      <c r="O32" s="12">
        <f t="shared" si="0"/>
        <v>254138.98969855587</v>
      </c>
    </row>
    <row r="33" spans="2:16" x14ac:dyDescent="0.2">
      <c r="B33" t="s">
        <v>61</v>
      </c>
      <c r="D33" s="9">
        <f>4355/94827</f>
        <v>4.5925738450019508E-2</v>
      </c>
      <c r="E33" s="7">
        <v>0.03</v>
      </c>
      <c r="F33" s="7">
        <v>0.05</v>
      </c>
      <c r="G33" s="7">
        <v>7.0000000000000007E-2</v>
      </c>
      <c r="H33" s="7">
        <v>0.09</v>
      </c>
      <c r="I33" s="7">
        <v>0.1</v>
      </c>
      <c r="J33" s="7">
        <v>0.1</v>
      </c>
      <c r="K33" s="7">
        <v>0.1</v>
      </c>
      <c r="L33" s="7">
        <v>0.1</v>
      </c>
      <c r="M33" s="7">
        <v>0.1</v>
      </c>
      <c r="N33" s="7">
        <v>0.1</v>
      </c>
      <c r="O33" s="9">
        <f>C25</f>
        <v>0.1</v>
      </c>
      <c r="P33" t="s">
        <v>62</v>
      </c>
    </row>
    <row r="34" spans="2:16" x14ac:dyDescent="0.2">
      <c r="B34" t="s">
        <v>63</v>
      </c>
      <c r="E34" s="12">
        <f t="shared" ref="E34:O34" si="1">E32*E33</f>
        <v>3214.6352999999999</v>
      </c>
      <c r="F34" s="12">
        <f t="shared" si="1"/>
        <v>6086.3761680000007</v>
      </c>
      <c r="G34" s="12">
        <f t="shared" si="1"/>
        <v>9799.0656304799995</v>
      </c>
      <c r="H34" s="12">
        <f t="shared" si="1"/>
        <v>14488.618467923996</v>
      </c>
      <c r="I34" s="12">
        <f t="shared" si="1"/>
        <v>18030.280760083198</v>
      </c>
      <c r="J34" s="12">
        <f t="shared" si="1"/>
        <v>19833.308836091517</v>
      </c>
      <c r="K34" s="12">
        <f t="shared" si="1"/>
        <v>21419.973542978842</v>
      </c>
      <c r="L34" s="12">
        <f t="shared" si="1"/>
        <v>22705.171955557569</v>
      </c>
      <c r="M34" s="12">
        <f t="shared" si="1"/>
        <v>23840.430553335449</v>
      </c>
      <c r="N34" s="12">
        <f t="shared" si="1"/>
        <v>24794.047775468869</v>
      </c>
      <c r="O34" s="12">
        <f t="shared" si="1"/>
        <v>25413.898969855589</v>
      </c>
    </row>
    <row r="35" spans="2:16" x14ac:dyDescent="0.2">
      <c r="B35" t="s">
        <v>64</v>
      </c>
      <c r="E35" s="12">
        <f t="shared" ref="E35:N35" si="2">E34*(1-$C$21)</f>
        <v>2571.7082399999999</v>
      </c>
      <c r="F35" s="12">
        <f t="shared" si="2"/>
        <v>4869.1009344000004</v>
      </c>
      <c r="G35" s="12">
        <f t="shared" si="2"/>
        <v>7839.2525043839996</v>
      </c>
      <c r="H35" s="12">
        <f t="shared" si="2"/>
        <v>11590.894774339198</v>
      </c>
      <c r="I35" s="12">
        <f t="shared" si="2"/>
        <v>14424.224608066559</v>
      </c>
      <c r="J35" s="12">
        <f t="shared" si="2"/>
        <v>15866.647068873215</v>
      </c>
      <c r="K35" s="12">
        <f t="shared" si="2"/>
        <v>17135.978834383073</v>
      </c>
      <c r="L35" s="12">
        <f t="shared" si="2"/>
        <v>18164.137564446057</v>
      </c>
      <c r="M35" s="12">
        <f t="shared" si="2"/>
        <v>19072.34444266836</v>
      </c>
      <c r="N35" s="12">
        <f t="shared" si="2"/>
        <v>19835.238220375097</v>
      </c>
      <c r="O35" s="12">
        <f>O34*(1-C26)</f>
        <v>20331.119175884472</v>
      </c>
    </row>
    <row r="36" spans="2:16" x14ac:dyDescent="0.2">
      <c r="B36" t="s">
        <v>65</v>
      </c>
      <c r="E36" s="12">
        <f t="shared" ref="E36:N36" si="3">-MAX(0,E32-D32)/$C$22</f>
        <v>-8218.3399999999965</v>
      </c>
      <c r="F36" s="12">
        <f t="shared" si="3"/>
        <v>-9715.3422400000072</v>
      </c>
      <c r="G36" s="12">
        <f t="shared" si="3"/>
        <v>-12172.752335999985</v>
      </c>
      <c r="H36" s="12">
        <f t="shared" si="3"/>
        <v>-13998.665186399981</v>
      </c>
      <c r="I36" s="12">
        <f t="shared" si="3"/>
        <v>-12878.771971488002</v>
      </c>
      <c r="J36" s="12">
        <f t="shared" si="3"/>
        <v>-12020.187173388802</v>
      </c>
      <c r="K36" s="12">
        <f t="shared" si="3"/>
        <v>-10577.764712582148</v>
      </c>
      <c r="L36" s="12">
        <f t="shared" si="3"/>
        <v>-8567.9894171915366</v>
      </c>
      <c r="M36" s="12">
        <f t="shared" si="3"/>
        <v>-7568.3906518525328</v>
      </c>
      <c r="N36" s="12">
        <f t="shared" si="3"/>
        <v>-6357.4481475561233</v>
      </c>
      <c r="O36" s="12">
        <f>-O35*C23/C24</f>
        <v>-4235.6498283092651</v>
      </c>
      <c r="P36" t="s">
        <v>66</v>
      </c>
    </row>
    <row r="37" spans="2:16" x14ac:dyDescent="0.2">
      <c r="B37" s="1" t="s">
        <v>67</v>
      </c>
      <c r="E37" s="13">
        <f t="shared" ref="E37:O37" si="4">E35+E36</f>
        <v>-5646.6317599999966</v>
      </c>
      <c r="F37" s="13">
        <f t="shared" si="4"/>
        <v>-4846.2413056000069</v>
      </c>
      <c r="G37" s="13">
        <f t="shared" si="4"/>
        <v>-4333.4998316159854</v>
      </c>
      <c r="H37" s="13">
        <f t="shared" si="4"/>
        <v>-2407.7704120607832</v>
      </c>
      <c r="I37" s="13">
        <f t="shared" si="4"/>
        <v>1545.4526365785568</v>
      </c>
      <c r="J37" s="13">
        <f t="shared" si="4"/>
        <v>3846.4598954844132</v>
      </c>
      <c r="K37" s="13">
        <f t="shared" si="4"/>
        <v>6558.2141218009256</v>
      </c>
      <c r="L37" s="13">
        <f t="shared" si="4"/>
        <v>9596.1481472545202</v>
      </c>
      <c r="M37" s="13">
        <f t="shared" si="4"/>
        <v>11503.953790815827</v>
      </c>
      <c r="N37" s="13">
        <f t="shared" si="4"/>
        <v>13477.790072818974</v>
      </c>
      <c r="O37" s="13">
        <f t="shared" si="4"/>
        <v>16095.469347575206</v>
      </c>
    </row>
    <row r="38" spans="2:16" x14ac:dyDescent="0.2">
      <c r="B38" t="s">
        <v>68</v>
      </c>
      <c r="E38" s="9">
        <f>(DATE(2026,12,31)-$C$6)/365</f>
        <v>0.21369863013698631</v>
      </c>
      <c r="F38" s="9">
        <v>1</v>
      </c>
      <c r="G38" s="9">
        <v>1</v>
      </c>
      <c r="H38" s="9">
        <v>1</v>
      </c>
      <c r="I38" s="9">
        <v>1</v>
      </c>
      <c r="J38" s="9">
        <v>1</v>
      </c>
      <c r="K38" s="9">
        <v>1</v>
      </c>
      <c r="L38" s="9">
        <v>1</v>
      </c>
      <c r="M38" s="9">
        <v>1</v>
      </c>
      <c r="N38" s="9">
        <v>1</v>
      </c>
    </row>
    <row r="39" spans="2:16" x14ac:dyDescent="0.2">
      <c r="B39" t="s">
        <v>69</v>
      </c>
      <c r="E39" s="14">
        <f>E38/2</f>
        <v>0.10684931506849316</v>
      </c>
      <c r="F39" s="14">
        <f>$E$38+1-0.5</f>
        <v>0.71369863013698631</v>
      </c>
      <c r="G39" s="14">
        <f>$E$38+2-0.5</f>
        <v>1.7136986301369861</v>
      </c>
      <c r="H39" s="14">
        <f>$E$38+3-0.5</f>
        <v>2.7136986301369861</v>
      </c>
      <c r="I39" s="14">
        <f>$E$38+4-0.5</f>
        <v>3.7136986301369861</v>
      </c>
      <c r="J39" s="14">
        <f>$E$38+5-0.5</f>
        <v>4.7136986301369861</v>
      </c>
      <c r="K39" s="14">
        <f>$E$38+6-0.5</f>
        <v>5.7136986301369861</v>
      </c>
      <c r="L39" s="14">
        <f>$E$38+7-0.5</f>
        <v>6.7136986301369861</v>
      </c>
      <c r="M39" s="14">
        <f>$E$38+8-0.5</f>
        <v>7.713698630136987</v>
      </c>
      <c r="N39" s="14">
        <f>$E$38+9-0.5</f>
        <v>8.713698630136987</v>
      </c>
    </row>
    <row r="40" spans="2:16" x14ac:dyDescent="0.2">
      <c r="B40" t="s">
        <v>70</v>
      </c>
      <c r="E40" s="15">
        <f t="shared" ref="E40:N40" si="5">1/(1+$C$20)^E39</f>
        <v>0.98680207642163542</v>
      </c>
      <c r="F40" s="15">
        <f t="shared" si="5"/>
        <v>0.91508139181737724</v>
      </c>
      <c r="G40" s="15">
        <f t="shared" si="5"/>
        <v>0.80808855067850205</v>
      </c>
      <c r="H40" s="15">
        <f t="shared" si="5"/>
        <v>0.71360549080862812</v>
      </c>
      <c r="I40" s="15">
        <f t="shared" si="5"/>
        <v>0.63016954773663303</v>
      </c>
      <c r="J40" s="15">
        <f t="shared" si="5"/>
        <v>0.55648907415860827</v>
      </c>
      <c r="K40" s="15">
        <f t="shared" si="5"/>
        <v>0.49142344432570029</v>
      </c>
      <c r="L40" s="15">
        <f t="shared" si="5"/>
        <v>0.43396539635224551</v>
      </c>
      <c r="M40" s="15">
        <f t="shared" si="5"/>
        <v>0.38322543909066109</v>
      </c>
      <c r="N40" s="15">
        <f t="shared" si="5"/>
        <v>0.33841808218050595</v>
      </c>
    </row>
    <row r="41" spans="2:16" x14ac:dyDescent="0.2">
      <c r="B41" s="1" t="s">
        <v>71</v>
      </c>
      <c r="E41" s="13">
        <f t="shared" ref="E41:N41" si="6">E37*E38*E40</f>
        <v>-1190.7518349408092</v>
      </c>
      <c r="F41" s="13">
        <f t="shared" si="6"/>
        <v>-4434.7052390113176</v>
      </c>
      <c r="G41" s="13">
        <f t="shared" si="6"/>
        <v>-3501.8515982960944</v>
      </c>
      <c r="H41" s="13">
        <f t="shared" si="6"/>
        <v>-1718.198186653128</v>
      </c>
      <c r="I41" s="13">
        <f t="shared" si="6"/>
        <v>973.89718904109623</v>
      </c>
      <c r="J41" s="13">
        <f t="shared" si="6"/>
        <v>2140.5129060263384</v>
      </c>
      <c r="K41" s="13">
        <f t="shared" si="6"/>
        <v>3222.8601723608585</v>
      </c>
      <c r="L41" s="13">
        <f t="shared" si="6"/>
        <v>4164.3962341781744</v>
      </c>
      <c r="M41" s="13">
        <f t="shared" si="6"/>
        <v>4408.6077427640703</v>
      </c>
      <c r="N41" s="13">
        <f t="shared" si="6"/>
        <v>4561.1278684748586</v>
      </c>
    </row>
    <row r="43" spans="2:16" x14ac:dyDescent="0.2">
      <c r="B43" s="1" t="s">
        <v>72</v>
      </c>
    </row>
    <row r="44" spans="2:16" x14ac:dyDescent="0.2">
      <c r="B44" t="s">
        <v>73</v>
      </c>
      <c r="D44" s="12">
        <f>SUM(E41:N41)</f>
        <v>8625.895253944047</v>
      </c>
    </row>
    <row r="45" spans="2:16" x14ac:dyDescent="0.2">
      <c r="B45" t="s">
        <v>74</v>
      </c>
      <c r="D45" s="12">
        <f>O37/(C20-C23)</f>
        <v>149861.39507710838</v>
      </c>
    </row>
    <row r="46" spans="2:16" x14ac:dyDescent="0.2">
      <c r="B46" t="s">
        <v>75</v>
      </c>
      <c r="D46" s="12">
        <f>D45/(1+C20)^(E38+9)</f>
        <v>47658.782755039494</v>
      </c>
    </row>
    <row r="47" spans="2:16" x14ac:dyDescent="0.2">
      <c r="B47" s="1" t="s">
        <v>76</v>
      </c>
      <c r="D47" s="13">
        <f>D44+D46</f>
        <v>56284.678008983537</v>
      </c>
    </row>
    <row r="48" spans="2:16" x14ac:dyDescent="0.2">
      <c r="B48" t="s">
        <v>77</v>
      </c>
      <c r="D48" s="9">
        <f>D46/D47</f>
        <v>0.84674523228919829</v>
      </c>
    </row>
    <row r="49" spans="2:16" x14ac:dyDescent="0.2">
      <c r="B49" t="s">
        <v>78</v>
      </c>
      <c r="D49" s="12">
        <f>C10</f>
        <v>34444</v>
      </c>
    </row>
    <row r="50" spans="2:16" x14ac:dyDescent="0.2">
      <c r="B50" s="1" t="s">
        <v>79</v>
      </c>
      <c r="D50" s="13">
        <f>D47+D49</f>
        <v>90728.678008983537</v>
      </c>
    </row>
    <row r="51" spans="2:16" x14ac:dyDescent="0.2">
      <c r="B51" s="1" t="s">
        <v>80</v>
      </c>
      <c r="D51" s="20">
        <f>D50/C8</f>
        <v>22.972193444482475</v>
      </c>
    </row>
    <row r="52" spans="2:16" x14ac:dyDescent="0.2">
      <c r="B52" t="s">
        <v>81</v>
      </c>
      <c r="D52" s="21">
        <f>C7</f>
        <v>367.16</v>
      </c>
    </row>
    <row r="53" spans="2:16" x14ac:dyDescent="0.2">
      <c r="B53" s="1" t="s">
        <v>82</v>
      </c>
      <c r="D53" s="16">
        <f>D51/D52-1</f>
        <v>-0.93743274473122762</v>
      </c>
    </row>
    <row r="54" spans="2:16" x14ac:dyDescent="0.2">
      <c r="B54" t="s">
        <v>83</v>
      </c>
      <c r="D54" s="17">
        <f>C7/1.08</f>
        <v>339.96296296296299</v>
      </c>
      <c r="P54" t="s">
        <v>84</v>
      </c>
    </row>
    <row r="55" spans="2:16" x14ac:dyDescent="0.2">
      <c r="B55" t="s">
        <v>85</v>
      </c>
      <c r="D55" s="17">
        <f>D51/1.08</f>
        <v>21.270549485631921</v>
      </c>
    </row>
    <row r="58" spans="2:16" x14ac:dyDescent="0.2">
      <c r="B58" s="1" t="s">
        <v>86</v>
      </c>
    </row>
    <row r="59" spans="2:16" x14ac:dyDescent="0.2">
      <c r="B59" t="s">
        <v>87</v>
      </c>
      <c r="D59" s="18">
        <v>0.05</v>
      </c>
      <c r="E59" s="18">
        <v>7.4999999999999997E-2</v>
      </c>
      <c r="F59" s="18">
        <v>0.1</v>
      </c>
      <c r="G59" s="18">
        <v>0.125</v>
      </c>
      <c r="H59" s="18">
        <v>0.15</v>
      </c>
    </row>
    <row r="60" spans="2:16" x14ac:dyDescent="0.2">
      <c r="C60" s="18">
        <f>$C$20+(-0.03)</f>
        <v>0.10240237230070881</v>
      </c>
      <c r="D60" s="21">
        <f t="shared" ref="D60:H64" si="7">(SUMPRODUCT($E$37:$H$37,$E$38:$H$38,1/(1+$C60)^$E$39:$H$39)+SUMPRODUCT($I$32:$N$32*($I$33:$N$33+D$59-$C$25)*(1-$C$21)+$I$36:$N$36,1/(1+$C60)^$I$39:$N$39)+$O$32*D$59*(1-$C$26)*(1-$C$23/$C$24)/($C60-$C$23)/(1+$C60)^($E$38+9)+$C$10)/$C$8</f>
        <v>15.343606620807639</v>
      </c>
      <c r="E60" s="21">
        <f t="shared" si="7"/>
        <v>24.299491497981744</v>
      </c>
      <c r="F60" s="21">
        <f t="shared" si="7"/>
        <v>33.255376375155876</v>
      </c>
      <c r="G60" s="21">
        <f t="shared" si="7"/>
        <v>42.211261252329976</v>
      </c>
      <c r="H60" s="21">
        <f t="shared" si="7"/>
        <v>51.167146129504083</v>
      </c>
      <c r="P60" t="s">
        <v>88</v>
      </c>
    </row>
    <row r="61" spans="2:16" x14ac:dyDescent="0.2">
      <c r="C61" s="18">
        <f>$C$20+(-0.015)</f>
        <v>0.11740237230070881</v>
      </c>
      <c r="D61" s="21">
        <f t="shared" si="7"/>
        <v>12.640040999287601</v>
      </c>
      <c r="E61" s="21">
        <f t="shared" si="7"/>
        <v>19.915633114471529</v>
      </c>
      <c r="F61" s="21">
        <f t="shared" si="7"/>
        <v>27.19122522965548</v>
      </c>
      <c r="G61" s="21">
        <f t="shared" si="7"/>
        <v>34.46681734483942</v>
      </c>
      <c r="H61" s="21">
        <f t="shared" si="7"/>
        <v>41.742409460023346</v>
      </c>
    </row>
    <row r="62" spans="2:16" x14ac:dyDescent="0.2">
      <c r="C62" s="18">
        <f>$C$20+(0)</f>
        <v>0.13240237230070881</v>
      </c>
      <c r="D62" s="21">
        <f t="shared" si="7"/>
        <v>10.83099261652778</v>
      </c>
      <c r="E62" s="21">
        <f t="shared" si="7"/>
        <v>16.901593030505126</v>
      </c>
      <c r="F62" s="21">
        <f t="shared" si="7"/>
        <v>22.972193444482475</v>
      </c>
      <c r="G62" s="21">
        <f t="shared" si="7"/>
        <v>29.042793858459824</v>
      </c>
      <c r="H62" s="21">
        <f t="shared" si="7"/>
        <v>35.113394272437169</v>
      </c>
    </row>
    <row r="63" spans="2:16" x14ac:dyDescent="0.2">
      <c r="C63" s="18">
        <f>$C$20+(0.015)</f>
        <v>0.14740237230070879</v>
      </c>
      <c r="D63" s="21">
        <f t="shared" si="7"/>
        <v>9.5726709464564124</v>
      </c>
      <c r="E63" s="21">
        <f t="shared" si="7"/>
        <v>14.738781527029886</v>
      </c>
      <c r="F63" s="21">
        <f t="shared" si="7"/>
        <v>19.904892107603366</v>
      </c>
      <c r="G63" s="21">
        <f t="shared" si="7"/>
        <v>25.071002688176844</v>
      </c>
      <c r="H63" s="21">
        <f t="shared" si="7"/>
        <v>30.237113268750321</v>
      </c>
    </row>
    <row r="64" spans="2:16" x14ac:dyDescent="0.2">
      <c r="C64" s="18">
        <f>$C$20+(0.03)</f>
        <v>0.16240237230070881</v>
      </c>
      <c r="D64" s="21">
        <f t="shared" si="7"/>
        <v>8.6732315590896256</v>
      </c>
      <c r="E64" s="21">
        <f t="shared" si="7"/>
        <v>13.13687401741042</v>
      </c>
      <c r="F64" s="21">
        <f t="shared" si="7"/>
        <v>17.600516475731226</v>
      </c>
      <c r="G64" s="21">
        <f t="shared" si="7"/>
        <v>22.064158934052021</v>
      </c>
      <c r="H64" s="21">
        <f t="shared" si="7"/>
        <v>26.527801392372819</v>
      </c>
    </row>
    <row r="66" spans="2:2" x14ac:dyDescent="0.2">
      <c r="B66" s="1" t="s">
        <v>89</v>
      </c>
    </row>
    <row r="67" spans="2:2" x14ac:dyDescent="0.2">
      <c r="B67" t="s">
        <v>90</v>
      </c>
    </row>
    <row r="68" spans="2:2" x14ac:dyDescent="0.2">
      <c r="B68" t="s">
        <v>91</v>
      </c>
    </row>
    <row r="69" spans="2:2" x14ac:dyDescent="0.2">
      <c r="B69" t="s">
        <v>92</v>
      </c>
    </row>
    <row r="70" spans="2:2" x14ac:dyDescent="0.2">
      <c r="B70" t="s">
        <v>93</v>
      </c>
    </row>
    <row r="71" spans="2:2" x14ac:dyDescent="0.2">
      <c r="B71" t="s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 Cong Tan</cp:lastModifiedBy>
  <dcterms:created xsi:type="dcterms:W3CDTF">2026-10-06T20:35:55Z</dcterms:created>
  <dcterms:modified xsi:type="dcterms:W3CDTF">2026-10-15T01:11:11Z</dcterms:modified>
</cp:coreProperties>
</file>